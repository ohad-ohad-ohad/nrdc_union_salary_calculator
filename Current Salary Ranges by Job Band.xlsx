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rdc1.sharepoint.com/sites/HRHomePage/Compensation Resources/Current Salary Ranges/"/>
    </mc:Choice>
  </mc:AlternateContent>
  <xr:revisionPtr revIDLastSave="0" documentId="8_{762DD883-2B98-4C29-BDA1-87274C66655D}" xr6:coauthVersionLast="47" xr6:coauthVersionMax="47" xr10:uidLastSave="{00000000-0000-0000-0000-000000000000}"/>
  <bookViews>
    <workbookView xWindow="28680" yWindow="-120" windowWidth="29040" windowHeight="15840" xr2:uid="{D61F2742-65C9-4147-B037-DB8C41EB0983}"/>
  </bookViews>
  <sheets>
    <sheet name="New Salary Ranges" sheetId="1" r:id="rId1"/>
    <sheet name="Sheet1" sheetId="2" r:id="rId2"/>
  </sheets>
  <externalReferences>
    <externalReference r:id="rId3"/>
  </externalReferences>
  <definedNames>
    <definedName name="_xlnm._FilterDatabase" localSheetId="0" hidden="1">'New Salary Ranges'!$A$1:$D$245</definedName>
    <definedName name="Current">'[1]Current Salary Ranges'!$A$1:$D$178</definedName>
    <definedName name="Expanded_Current" localSheetId="0">'New Salary Ranges'!$A$1:$D$244</definedName>
    <definedName name="Expanded_Current">'[1]Expanded Current (50%)'!$A$1:$D$244</definedName>
    <definedName name="IQ_EXPENSE_CODE_" hidden="1">"58528-228803-ITT"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D59" i="1"/>
  <c r="B58" i="1"/>
  <c r="D58" i="1"/>
  <c r="B57" i="1"/>
  <c r="D57" i="1"/>
  <c r="B56" i="1"/>
  <c r="D56" i="1"/>
  <c r="B55" i="1"/>
  <c r="D55" i="1"/>
  <c r="B54" i="1"/>
  <c r="D54" i="1"/>
  <c r="B65" i="1"/>
  <c r="D65" i="1"/>
  <c r="B64" i="1"/>
  <c r="D64" i="1"/>
  <c r="B63" i="1"/>
  <c r="D63" i="1"/>
  <c r="B62" i="1"/>
  <c r="D62" i="1"/>
  <c r="B61" i="1"/>
  <c r="D61" i="1"/>
  <c r="B53" i="1"/>
  <c r="D53" i="1"/>
  <c r="B52" i="1"/>
  <c r="D52" i="1"/>
  <c r="B51" i="1"/>
  <c r="D51" i="1"/>
  <c r="B133" i="1"/>
  <c r="D133" i="1"/>
  <c r="B132" i="1"/>
  <c r="D132" i="1"/>
  <c r="B131" i="1"/>
  <c r="D131" i="1"/>
  <c r="B130" i="1"/>
  <c r="D130" i="1"/>
  <c r="B129" i="1"/>
  <c r="D129" i="1"/>
  <c r="B128" i="1"/>
  <c r="D128" i="1"/>
  <c r="B139" i="1"/>
  <c r="D139" i="1"/>
  <c r="B138" i="1"/>
  <c r="D138" i="1"/>
  <c r="B137" i="1"/>
  <c r="D137" i="1"/>
  <c r="B136" i="1"/>
  <c r="D136" i="1"/>
  <c r="B135" i="1"/>
  <c r="D135" i="1"/>
  <c r="B127" i="1"/>
  <c r="D127" i="1"/>
  <c r="B126" i="1"/>
  <c r="D126" i="1"/>
  <c r="B125" i="1"/>
  <c r="D125" i="1"/>
  <c r="B101" i="1"/>
  <c r="D101" i="1"/>
  <c r="B100" i="1"/>
  <c r="D100" i="1"/>
  <c r="B99" i="1"/>
  <c r="D99" i="1"/>
  <c r="B98" i="1"/>
  <c r="D98" i="1"/>
  <c r="B97" i="1"/>
  <c r="D97" i="1"/>
  <c r="B96" i="1"/>
  <c r="D96" i="1"/>
  <c r="B107" i="1"/>
  <c r="D107" i="1"/>
  <c r="B106" i="1"/>
  <c r="D106" i="1"/>
  <c r="B105" i="1"/>
  <c r="D105" i="1"/>
  <c r="B104" i="1"/>
  <c r="D104" i="1"/>
  <c r="B103" i="1"/>
  <c r="D103" i="1"/>
  <c r="B95" i="1"/>
  <c r="D95" i="1"/>
  <c r="B94" i="1"/>
  <c r="D94" i="1"/>
  <c r="B93" i="1"/>
  <c r="D93" i="1"/>
  <c r="B223" i="1"/>
  <c r="D223" i="1"/>
  <c r="B222" i="1"/>
  <c r="D222" i="1"/>
  <c r="B221" i="1"/>
  <c r="D221" i="1"/>
  <c r="B220" i="1"/>
  <c r="D220" i="1"/>
  <c r="B219" i="1"/>
  <c r="D219" i="1"/>
  <c r="B218" i="1"/>
  <c r="D218" i="1"/>
  <c r="B229" i="1"/>
  <c r="D229" i="1"/>
  <c r="B228" i="1"/>
  <c r="D228" i="1"/>
  <c r="B227" i="1"/>
  <c r="D227" i="1"/>
  <c r="B226" i="1"/>
  <c r="D226" i="1"/>
  <c r="B225" i="1"/>
  <c r="D225" i="1"/>
  <c r="B217" i="1"/>
  <c r="D217" i="1"/>
  <c r="B216" i="1"/>
  <c r="D216" i="1"/>
  <c r="B215" i="1"/>
  <c r="D215" i="1"/>
  <c r="B118" i="1"/>
  <c r="D118" i="1"/>
  <c r="B117" i="1"/>
  <c r="D117" i="1"/>
  <c r="B116" i="1"/>
  <c r="D116" i="1"/>
  <c r="B115" i="1"/>
  <c r="D115" i="1"/>
  <c r="B114" i="1"/>
  <c r="D114" i="1"/>
  <c r="B113" i="1"/>
  <c r="D113" i="1"/>
  <c r="B124" i="1"/>
  <c r="D124" i="1"/>
  <c r="B123" i="1"/>
  <c r="D123" i="1"/>
  <c r="B122" i="1"/>
  <c r="D122" i="1"/>
  <c r="B121" i="1"/>
  <c r="D121" i="1"/>
  <c r="B120" i="1"/>
  <c r="D120" i="1"/>
  <c r="B112" i="1"/>
  <c r="D112" i="1"/>
  <c r="B111" i="1"/>
  <c r="D111" i="1"/>
  <c r="B110" i="1"/>
  <c r="D110" i="1"/>
  <c r="B10" i="1"/>
  <c r="D10" i="1"/>
  <c r="B9" i="1"/>
  <c r="D9" i="1"/>
  <c r="B8" i="1"/>
  <c r="D8" i="1"/>
  <c r="B7" i="1"/>
  <c r="D7" i="1"/>
  <c r="B6" i="1"/>
  <c r="D6" i="1"/>
  <c r="B5" i="1"/>
  <c r="D5" i="1"/>
  <c r="B16" i="1"/>
  <c r="D16" i="1"/>
  <c r="B15" i="1"/>
  <c r="D15" i="1"/>
  <c r="B14" i="1"/>
  <c r="D14" i="1"/>
  <c r="B13" i="1"/>
  <c r="D13" i="1"/>
  <c r="B12" i="1"/>
  <c r="D12" i="1"/>
  <c r="B4" i="1"/>
  <c r="D4" i="1"/>
  <c r="B3" i="1"/>
  <c r="D3" i="1"/>
  <c r="B2" i="1"/>
  <c r="D2" i="1"/>
  <c r="B148" i="1"/>
  <c r="D148" i="1"/>
  <c r="B147" i="1"/>
  <c r="D147" i="1"/>
  <c r="B146" i="1"/>
  <c r="D146" i="1"/>
  <c r="B145" i="1"/>
  <c r="D145" i="1"/>
  <c r="B144" i="1"/>
  <c r="D144" i="1"/>
  <c r="B143" i="1"/>
  <c r="D143" i="1"/>
  <c r="B154" i="1"/>
  <c r="D154" i="1"/>
  <c r="B153" i="1"/>
  <c r="D153" i="1"/>
  <c r="B152" i="1"/>
  <c r="D152" i="1"/>
  <c r="B151" i="1"/>
  <c r="D151" i="1"/>
  <c r="B150" i="1"/>
  <c r="D150" i="1"/>
  <c r="B142" i="1"/>
  <c r="D142" i="1"/>
  <c r="B141" i="1"/>
  <c r="D141" i="1"/>
  <c r="B140" i="1"/>
  <c r="D140" i="1"/>
  <c r="B178" i="1"/>
  <c r="D178" i="1"/>
  <c r="B177" i="1"/>
  <c r="D177" i="1"/>
  <c r="B176" i="1"/>
  <c r="D176" i="1"/>
  <c r="B175" i="1"/>
  <c r="D175" i="1"/>
  <c r="B174" i="1"/>
  <c r="D174" i="1"/>
  <c r="B173" i="1"/>
  <c r="D173" i="1"/>
  <c r="B184" i="1"/>
  <c r="D184" i="1"/>
  <c r="B183" i="1"/>
  <c r="D183" i="1"/>
  <c r="B182" i="1"/>
  <c r="D182" i="1"/>
  <c r="B181" i="1"/>
  <c r="D181" i="1"/>
  <c r="B180" i="1"/>
  <c r="D180" i="1"/>
  <c r="B172" i="1"/>
  <c r="D172" i="1"/>
  <c r="B171" i="1"/>
  <c r="D171" i="1"/>
  <c r="B170" i="1"/>
  <c r="D170" i="1"/>
  <c r="B163" i="1"/>
  <c r="D163" i="1"/>
  <c r="B162" i="1"/>
  <c r="D162" i="1"/>
  <c r="B161" i="1"/>
  <c r="D161" i="1"/>
  <c r="B160" i="1"/>
  <c r="D160" i="1"/>
  <c r="B159" i="1"/>
  <c r="D159" i="1"/>
  <c r="B158" i="1"/>
  <c r="D158" i="1"/>
  <c r="B169" i="1"/>
  <c r="D169" i="1"/>
  <c r="B168" i="1"/>
  <c r="D168" i="1"/>
  <c r="B167" i="1"/>
  <c r="D167" i="1"/>
  <c r="B166" i="1"/>
  <c r="D166" i="1"/>
  <c r="B165" i="1"/>
  <c r="D165" i="1"/>
  <c r="B157" i="1"/>
  <c r="D157" i="1"/>
  <c r="B156" i="1"/>
  <c r="D156" i="1"/>
  <c r="B155" i="1"/>
  <c r="D155" i="1"/>
  <c r="B239" i="1"/>
  <c r="D239" i="1"/>
  <c r="B238" i="1"/>
  <c r="D238" i="1"/>
  <c r="B237" i="1"/>
  <c r="D237" i="1"/>
  <c r="B236" i="1"/>
  <c r="D236" i="1"/>
  <c r="B235" i="1"/>
  <c r="D235" i="1"/>
  <c r="B234" i="1"/>
  <c r="D234" i="1"/>
  <c r="B245" i="1"/>
  <c r="D245" i="1"/>
  <c r="B244" i="1"/>
  <c r="D244" i="1"/>
  <c r="B243" i="1"/>
  <c r="D243" i="1"/>
  <c r="B242" i="1"/>
  <c r="D242" i="1"/>
  <c r="B241" i="1"/>
  <c r="D241" i="1"/>
  <c r="B233" i="1"/>
  <c r="D233" i="1"/>
  <c r="B232" i="1"/>
  <c r="D232" i="1"/>
  <c r="B231" i="1"/>
  <c r="D231" i="1"/>
  <c r="B230" i="1"/>
  <c r="D230" i="1"/>
  <c r="B108" i="1"/>
  <c r="D108" i="1"/>
  <c r="B109" i="1"/>
  <c r="D109" i="1"/>
  <c r="B19" i="1"/>
  <c r="D19" i="1"/>
  <c r="B18" i="1"/>
  <c r="D18" i="1"/>
  <c r="B17" i="1"/>
  <c r="D17" i="1"/>
  <c r="B193" i="1"/>
  <c r="D193" i="1"/>
  <c r="B192" i="1"/>
  <c r="D192" i="1"/>
  <c r="B191" i="1"/>
  <c r="D191" i="1"/>
  <c r="B190" i="1"/>
  <c r="D190" i="1"/>
  <c r="B189" i="1"/>
  <c r="D189" i="1"/>
  <c r="B188" i="1"/>
  <c r="D188" i="1"/>
  <c r="B199" i="1"/>
  <c r="D199" i="1"/>
  <c r="B198" i="1"/>
  <c r="D198" i="1"/>
  <c r="B197" i="1"/>
  <c r="D197" i="1"/>
  <c r="B196" i="1"/>
  <c r="D196" i="1"/>
  <c r="B195" i="1"/>
  <c r="D195" i="1"/>
  <c r="B187" i="1"/>
  <c r="D187" i="1"/>
  <c r="B186" i="1"/>
  <c r="D186" i="1"/>
  <c r="B185" i="1"/>
  <c r="D185" i="1"/>
  <c r="B208" i="1"/>
  <c r="D208" i="1"/>
  <c r="B207" i="1"/>
  <c r="D207" i="1"/>
  <c r="B206" i="1"/>
  <c r="D206" i="1"/>
  <c r="B205" i="1"/>
  <c r="D205" i="1"/>
  <c r="B204" i="1"/>
  <c r="D204" i="1"/>
  <c r="B203" i="1"/>
  <c r="D203" i="1"/>
  <c r="B214" i="1"/>
  <c r="D214" i="1"/>
  <c r="B213" i="1"/>
  <c r="D213" i="1"/>
  <c r="B212" i="1"/>
  <c r="D212" i="1"/>
  <c r="B211" i="1"/>
  <c r="D211" i="1"/>
  <c r="B210" i="1"/>
  <c r="D210" i="1"/>
  <c r="B202" i="1"/>
  <c r="D202" i="1"/>
  <c r="B201" i="1"/>
  <c r="D201" i="1"/>
  <c r="B200" i="1"/>
  <c r="D200" i="1"/>
  <c r="B28" i="1"/>
  <c r="D28" i="1"/>
  <c r="B27" i="1"/>
  <c r="D27" i="1"/>
  <c r="B26" i="1"/>
  <c r="D26" i="1"/>
  <c r="B25" i="1"/>
  <c r="D25" i="1"/>
  <c r="B24" i="1"/>
  <c r="D24" i="1"/>
  <c r="B23" i="1"/>
  <c r="D23" i="1"/>
  <c r="B35" i="1"/>
  <c r="D35" i="1"/>
  <c r="B34" i="1"/>
  <c r="D34" i="1"/>
  <c r="B33" i="1"/>
  <c r="D33" i="1"/>
  <c r="B31" i="1"/>
  <c r="D31" i="1"/>
  <c r="B30" i="1"/>
  <c r="D30" i="1"/>
  <c r="B22" i="1"/>
  <c r="D22" i="1"/>
  <c r="B21" i="1"/>
  <c r="D21" i="1"/>
  <c r="B20" i="1"/>
  <c r="D20" i="1"/>
  <c r="B71" i="1"/>
  <c r="D71" i="1"/>
  <c r="B70" i="1"/>
  <c r="D70" i="1"/>
  <c r="B69" i="1"/>
  <c r="D69" i="1"/>
  <c r="B68" i="1"/>
  <c r="D68" i="1"/>
  <c r="B67" i="1"/>
  <c r="D67" i="1"/>
  <c r="B66" i="1"/>
  <c r="D66" i="1"/>
  <c r="B77" i="1"/>
  <c r="D77" i="1"/>
  <c r="B76" i="1"/>
  <c r="D76" i="1"/>
  <c r="B75" i="1"/>
  <c r="D75" i="1"/>
  <c r="B74" i="1"/>
  <c r="D74" i="1"/>
  <c r="B73" i="1"/>
  <c r="D73" i="1"/>
  <c r="B83" i="1"/>
  <c r="D83" i="1"/>
  <c r="B82" i="1"/>
  <c r="D82" i="1"/>
  <c r="B81" i="1"/>
  <c r="D81" i="1"/>
  <c r="B80" i="1"/>
  <c r="D80" i="1"/>
  <c r="B79" i="1"/>
  <c r="D79" i="1"/>
  <c r="B78" i="1"/>
  <c r="D78" i="1"/>
  <c r="B89" i="1"/>
  <c r="D89" i="1"/>
  <c r="B88" i="1"/>
  <c r="D88" i="1"/>
  <c r="B87" i="1"/>
  <c r="D87" i="1"/>
  <c r="B86" i="1"/>
  <c r="D86" i="1"/>
  <c r="B85" i="1"/>
  <c r="D85" i="1"/>
  <c r="B92" i="1"/>
  <c r="D92" i="1"/>
  <c r="B91" i="1"/>
  <c r="D91" i="1"/>
  <c r="B90" i="1"/>
  <c r="D90" i="1"/>
  <c r="B44" i="1"/>
  <c r="D44" i="1"/>
  <c r="B43" i="1"/>
  <c r="D43" i="1"/>
  <c r="B42" i="1"/>
  <c r="D42" i="1"/>
  <c r="B41" i="1"/>
  <c r="D41" i="1"/>
  <c r="B40" i="1"/>
  <c r="D40" i="1"/>
  <c r="B39" i="1"/>
  <c r="D39" i="1"/>
  <c r="B50" i="1"/>
  <c r="D50" i="1"/>
  <c r="B49" i="1"/>
  <c r="D49" i="1"/>
  <c r="B48" i="1"/>
  <c r="D48" i="1"/>
  <c r="B47" i="1"/>
  <c r="D47" i="1"/>
  <c r="B46" i="1"/>
  <c r="D46" i="1"/>
  <c r="B38" i="1"/>
  <c r="D38" i="1"/>
  <c r="B37" i="1"/>
  <c r="D37" i="1"/>
  <c r="B36" i="1"/>
  <c r="D36" i="1"/>
</calcChain>
</file>

<file path=xl/sharedStrings.xml><?xml version="1.0" encoding="utf-8"?>
<sst xmlns="http://schemas.openxmlformats.org/spreadsheetml/2006/main" count="248" uniqueCount="248">
  <si>
    <t>Job Family</t>
  </si>
  <si>
    <t>Min</t>
  </si>
  <si>
    <t>Mid</t>
  </si>
  <si>
    <t>Max</t>
  </si>
  <si>
    <t>Accounting-B2</t>
  </si>
  <si>
    <t>Accounting-B3</t>
  </si>
  <si>
    <t>Accounting-B4</t>
  </si>
  <si>
    <t>Accounting-G1</t>
  </si>
  <si>
    <t>Accounting-G2</t>
  </si>
  <si>
    <t>Accounting-G3 I</t>
  </si>
  <si>
    <t>Accounting-G3 II</t>
  </si>
  <si>
    <t>Accounting-G4</t>
  </si>
  <si>
    <t>Accounting-G5</t>
  </si>
  <si>
    <t>Accounting-S1</t>
  </si>
  <si>
    <t>Accounting-S2</t>
  </si>
  <si>
    <t>Accounting-S3</t>
  </si>
  <si>
    <t>Accounting-S4</t>
  </si>
  <si>
    <t>Accounting-S5</t>
  </si>
  <si>
    <t>Accounting-S6</t>
  </si>
  <si>
    <t>Administrative Services-B1</t>
  </si>
  <si>
    <t>Administrative Services-B2</t>
  </si>
  <si>
    <t>Administrative Services-B3</t>
  </si>
  <si>
    <t>Advocacy-B2</t>
  </si>
  <si>
    <t>Advocacy-B3</t>
  </si>
  <si>
    <t>Advocacy-B4</t>
  </si>
  <si>
    <t>Advocacy-G1</t>
  </si>
  <si>
    <t>Advocacy-G2</t>
  </si>
  <si>
    <t>Advocacy-G3 I</t>
  </si>
  <si>
    <t>Advocacy-G3 II</t>
  </si>
  <si>
    <t>Advocacy-G4</t>
  </si>
  <si>
    <t>Advocacy-G5</t>
  </si>
  <si>
    <t>Advocacy-S1</t>
  </si>
  <si>
    <t>Advocacy-S2</t>
  </si>
  <si>
    <t>Advocacy-S3</t>
  </si>
  <si>
    <t>Advocacy-S3-CAD</t>
  </si>
  <si>
    <t>Advocacy-S4</t>
  </si>
  <si>
    <t>Advocacy-S5</t>
  </si>
  <si>
    <t>Advocacy-S6</t>
  </si>
  <si>
    <t>Beijing-B2</t>
  </si>
  <si>
    <t>Beijing-B3</t>
  </si>
  <si>
    <t>Beijing-B4</t>
  </si>
  <si>
    <t>Beijing-G1</t>
  </si>
  <si>
    <t>Beijing-G2</t>
  </si>
  <si>
    <t>Beijing-G3 I</t>
  </si>
  <si>
    <t>Beijing-G3 II</t>
  </si>
  <si>
    <t>Beijing-G4</t>
  </si>
  <si>
    <t>Beijing-G5</t>
  </si>
  <si>
    <t>Beijing-S1</t>
  </si>
  <si>
    <t>Beijing-S2</t>
  </si>
  <si>
    <t>Beijing-S3</t>
  </si>
  <si>
    <t>Beijing-S4</t>
  </si>
  <si>
    <t>Beijing-S5</t>
  </si>
  <si>
    <t>Beijing-S6</t>
  </si>
  <si>
    <t>Communications-B2</t>
  </si>
  <si>
    <t>Communications-B3</t>
  </si>
  <si>
    <t>Communications-B4</t>
  </si>
  <si>
    <t>Communications-G1</t>
  </si>
  <si>
    <t>Communications-G2</t>
  </si>
  <si>
    <t>Communications-G3 I</t>
  </si>
  <si>
    <t>Communications-G3 II</t>
  </si>
  <si>
    <t>Communications-G4</t>
  </si>
  <si>
    <t>Communications-G5</t>
  </si>
  <si>
    <t>Communications-S1</t>
  </si>
  <si>
    <t>Communications-S2</t>
  </si>
  <si>
    <t>Communications-S3</t>
  </si>
  <si>
    <t>Communications-S4</t>
  </si>
  <si>
    <t>Communications-S5</t>
  </si>
  <si>
    <t>Communications-S6</t>
  </si>
  <si>
    <t>Development A-G1</t>
  </si>
  <si>
    <t>Development A-G2</t>
  </si>
  <si>
    <t>Development A-G3 I</t>
  </si>
  <si>
    <t>Development A-G3 II</t>
  </si>
  <si>
    <t>Development A-G4</t>
  </si>
  <si>
    <t>Development A-G5</t>
  </si>
  <si>
    <t>Development A-S1</t>
  </si>
  <si>
    <t>Development A-S2</t>
  </si>
  <si>
    <t>Development A-S3</t>
  </si>
  <si>
    <t>Development A-S4</t>
  </si>
  <si>
    <t>Development A-S5</t>
  </si>
  <si>
    <t>Development A-S6</t>
  </si>
  <si>
    <t>Development B-G1</t>
  </si>
  <si>
    <t>Development B-G2</t>
  </si>
  <si>
    <t>Development B-G3 I</t>
  </si>
  <si>
    <t>Development B-G3 II</t>
  </si>
  <si>
    <t>Development B-G4</t>
  </si>
  <si>
    <t>Development B-G5</t>
  </si>
  <si>
    <t>Development B-S1</t>
  </si>
  <si>
    <t>Development B-S2</t>
  </si>
  <si>
    <t>Development B-S3</t>
  </si>
  <si>
    <t>Development B-S4</t>
  </si>
  <si>
    <t>Development B-S5</t>
  </si>
  <si>
    <t>Development B-S6</t>
  </si>
  <si>
    <t>Development-B2</t>
  </si>
  <si>
    <t>Development-B3</t>
  </si>
  <si>
    <t>Development-B4</t>
  </si>
  <si>
    <t>Diversity Equity &amp; Inclusion-B2</t>
  </si>
  <si>
    <t>Diversity Equity &amp; Inclusion-B3</t>
  </si>
  <si>
    <t>Diversity Equity &amp; Inclusion-B4</t>
  </si>
  <si>
    <t>Diversity Equity &amp; Inclusion-G1</t>
  </si>
  <si>
    <t>Diversity Equity &amp; Inclusion-G2</t>
  </si>
  <si>
    <t>Diversity Equity &amp; Inclusion-G3 I</t>
  </si>
  <si>
    <t>Diversity Equity &amp; Inclusion-G3 II</t>
  </si>
  <si>
    <t>Diversity Equity &amp; Inclusion-G4</t>
  </si>
  <si>
    <t>Diversity Equity &amp; Inclusion-G5</t>
  </si>
  <si>
    <t>Diversity Equity &amp; Inclusion-S1</t>
  </si>
  <si>
    <t>Diversity Equity &amp; Inclusion-S2</t>
  </si>
  <si>
    <t>Diversity Equity &amp; Inclusion-S3</t>
  </si>
  <si>
    <t>Diversity Equity &amp; Inclusion-S4</t>
  </si>
  <si>
    <t>Diversity Equity &amp; Inclusion-S5</t>
  </si>
  <si>
    <t>Diversity Equity &amp; Inclusion-S6</t>
  </si>
  <si>
    <t>Executive Administration to CEO-B4</t>
  </si>
  <si>
    <t>Executive Administration-B4</t>
  </si>
  <si>
    <t>Finance-B2</t>
  </si>
  <si>
    <t>Finance-B3</t>
  </si>
  <si>
    <t>Finance-B4</t>
  </si>
  <si>
    <t>Finance-G1</t>
  </si>
  <si>
    <t>Finance-G2</t>
  </si>
  <si>
    <t>Finance-G3 I</t>
  </si>
  <si>
    <t>Finance-G3 II</t>
  </si>
  <si>
    <t>Finance-G4</t>
  </si>
  <si>
    <t>Finance-G5</t>
  </si>
  <si>
    <t>Finance-S1</t>
  </si>
  <si>
    <t>Finance-S2</t>
  </si>
  <si>
    <t>Finance-S3</t>
  </si>
  <si>
    <t>Finance-S4</t>
  </si>
  <si>
    <t>Finance-S5</t>
  </si>
  <si>
    <t>Finance-S6</t>
  </si>
  <si>
    <t>Human Resources-B2</t>
  </si>
  <si>
    <t>Human Resources-B3</t>
  </si>
  <si>
    <t>Human Resources-B4</t>
  </si>
  <si>
    <t>Human Resources-G1</t>
  </si>
  <si>
    <t>Human Resources-G2</t>
  </si>
  <si>
    <t>Human Resources-G3 I</t>
  </si>
  <si>
    <t>Human Resources-G3 II</t>
  </si>
  <si>
    <t>Human Resources-G4</t>
  </si>
  <si>
    <t>Human Resources-G5</t>
  </si>
  <si>
    <t>Human Resources-S1</t>
  </si>
  <si>
    <t>Human Resources-S2</t>
  </si>
  <si>
    <t>Human Resources-S3</t>
  </si>
  <si>
    <t>Human Resources-S4</t>
  </si>
  <si>
    <t>Human Resources-S5</t>
  </si>
  <si>
    <t>Human Resources-S6</t>
  </si>
  <si>
    <t>IT Client Services-B2</t>
  </si>
  <si>
    <t>IT Client Services-B3</t>
  </si>
  <si>
    <t>IT Client Services-B4</t>
  </si>
  <si>
    <t>IT Client Services-G1</t>
  </si>
  <si>
    <t>IT Client Services-G2</t>
  </si>
  <si>
    <t>IT Client Services-G3 I</t>
  </si>
  <si>
    <t>IT Client Services-G3 II</t>
  </si>
  <si>
    <t>IT Client Services-G4</t>
  </si>
  <si>
    <t>IT Client Services-G5</t>
  </si>
  <si>
    <t>IT Client Services-S1</t>
  </si>
  <si>
    <t>IT Client Services-S2</t>
  </si>
  <si>
    <t>IT Client Services-S3</t>
  </si>
  <si>
    <t>IT Client Services-S4</t>
  </si>
  <si>
    <t>IT Client Services-S5</t>
  </si>
  <si>
    <t>IT Client Services-S6</t>
  </si>
  <si>
    <t>IT CRM-B2</t>
  </si>
  <si>
    <t>IT CRM-B3</t>
  </si>
  <si>
    <t>IT CRM-B4</t>
  </si>
  <si>
    <t>IT CRM-G1</t>
  </si>
  <si>
    <t>IT CRM-G2</t>
  </si>
  <si>
    <t>IT CRM-G3 I</t>
  </si>
  <si>
    <t>IT CRM-G3 II</t>
  </si>
  <si>
    <t>IT CRM-G4</t>
  </si>
  <si>
    <t>IT CRM-G5</t>
  </si>
  <si>
    <t>IT CRM-S1</t>
  </si>
  <si>
    <t>IT CRM-S2</t>
  </si>
  <si>
    <t>IT CRM-S3</t>
  </si>
  <si>
    <t>IT CRM-S4</t>
  </si>
  <si>
    <t>IT CRM-S5</t>
  </si>
  <si>
    <t>IT CRM-S6</t>
  </si>
  <si>
    <t>IT Infrastructure-B2</t>
  </si>
  <si>
    <t>IT Infrastructure-B3</t>
  </si>
  <si>
    <t>IT Infrastructure-B4</t>
  </si>
  <si>
    <t>IT Infrastructure-G1</t>
  </si>
  <si>
    <t>IT Infrastructure-G2</t>
  </si>
  <si>
    <t>IT Infrastructure-G3 I</t>
  </si>
  <si>
    <t>IT Infrastructure-G3 II</t>
  </si>
  <si>
    <t>IT Infrastructure-G4</t>
  </si>
  <si>
    <t>IT Infrastructure-G5</t>
  </si>
  <si>
    <t>IT Infrastructure-S1</t>
  </si>
  <si>
    <t>IT Infrastructure-S2</t>
  </si>
  <si>
    <t>IT Infrastructure-S3</t>
  </si>
  <si>
    <t>IT Infrastructure-S4</t>
  </si>
  <si>
    <t>IT Infrastructure-S5</t>
  </si>
  <si>
    <t>IT Infrastructure-S6</t>
  </si>
  <si>
    <t>Legal-B2</t>
  </si>
  <si>
    <t>Legal-B3</t>
  </si>
  <si>
    <t>Legal-B4</t>
  </si>
  <si>
    <t>Legal-G1</t>
  </si>
  <si>
    <t>Legal-G2</t>
  </si>
  <si>
    <t>Legal-G3 I</t>
  </si>
  <si>
    <t>Legal-G3 II</t>
  </si>
  <si>
    <t>Legal-G4</t>
  </si>
  <si>
    <t>Legal-G5</t>
  </si>
  <si>
    <t>Legal-S1</t>
  </si>
  <si>
    <t>Legal-S2</t>
  </si>
  <si>
    <t>Legal-S3</t>
  </si>
  <si>
    <t>Legal-S4</t>
  </si>
  <si>
    <t>Legal-S5</t>
  </si>
  <si>
    <t>Legal-S6</t>
  </si>
  <si>
    <t>Litigation-B2</t>
  </si>
  <si>
    <t>Litigation-B3</t>
  </si>
  <si>
    <t>Litigation-B4</t>
  </si>
  <si>
    <t>Litigation-G1</t>
  </si>
  <si>
    <t>Litigation-G2</t>
  </si>
  <si>
    <t>Litigation-G3 I</t>
  </si>
  <si>
    <t>Litigation-G3 II</t>
  </si>
  <si>
    <t>Litigation-G4</t>
  </si>
  <si>
    <t>Litigation-G5</t>
  </si>
  <si>
    <t>Litigation-S1</t>
  </si>
  <si>
    <t>Litigation-S2</t>
  </si>
  <si>
    <t>Litigation-S3</t>
  </si>
  <si>
    <t>Litigation-S4</t>
  </si>
  <si>
    <t>Litigation-S5</t>
  </si>
  <si>
    <t>Litigation-S6</t>
  </si>
  <si>
    <t>Operations &amp; Strategic Planning-B2</t>
  </si>
  <si>
    <t>Operations &amp; Strategic Planning-B3</t>
  </si>
  <si>
    <t>Operations &amp; Strategic Planning-B4</t>
  </si>
  <si>
    <t>Operations &amp; Strategic Planning-G1</t>
  </si>
  <si>
    <t>Operations &amp; Strategic Planning-G2</t>
  </si>
  <si>
    <t>Operations &amp; Strategic Planning-G3 I</t>
  </si>
  <si>
    <t>Operations &amp; Strategic Planning-G3 II</t>
  </si>
  <si>
    <t>Operations &amp; Strategic Planning-G4</t>
  </si>
  <si>
    <t>Operations &amp; Strategic Planning-G5</t>
  </si>
  <si>
    <t>Operations &amp; Strategic Planning-S1</t>
  </si>
  <si>
    <t>Operations &amp; Strategic Planning-S2</t>
  </si>
  <si>
    <t>Operations &amp; Strategic Planning-S3</t>
  </si>
  <si>
    <t>Operations &amp; Strategic Planning-S4</t>
  </si>
  <si>
    <t>Operations &amp; Strategic Planning-S5</t>
  </si>
  <si>
    <t>Operations &amp; Strategic Planning-S6</t>
  </si>
  <si>
    <t>Workplace Strategy-B1</t>
  </si>
  <si>
    <t>Workplace Strategy-B2</t>
  </si>
  <si>
    <t>Workplace Strategy-B3</t>
  </si>
  <si>
    <t>Workplace Strategy-B4</t>
  </si>
  <si>
    <t>Workplace Strategy-G1</t>
  </si>
  <si>
    <t>Workplace Strategy-G2</t>
  </si>
  <si>
    <t>Workplace Strategy-G3 I</t>
  </si>
  <si>
    <t>Workplace Strategy-G3 II</t>
  </si>
  <si>
    <t>Workplace Strategy-G4</t>
  </si>
  <si>
    <t>Workplace Strategy-G5</t>
  </si>
  <si>
    <t>Workplace Strategy-S1</t>
  </si>
  <si>
    <t>Workplace Strategy-S2</t>
  </si>
  <si>
    <t>Workplace Strategy-S3</t>
  </si>
  <si>
    <t>Workplace Strategy-S4</t>
  </si>
  <si>
    <t>Workplace Strategy-S5</t>
  </si>
  <si>
    <t>Workplace Strategy-S6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</si>
</sst>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3" formatCode="_(* #,##0.00_);_(* \(#,##0.00\);_(* &quot;-&quot;??_);_(@_)"/>
    <numFmt numFmtId="164" formatCode="_(* #,##0_);_(* \(#,##0\);_(* &quot;-&quot;??_);_(@_)"/>
    <numFmt numFmtId="165" formatCode="[$¥-804]#,##0;[$¥-804]\-#,##0"/>
    <numFmt numFmtId="166" formatCode="[$CAD]\ #,##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2" fillId="0" borderId="0" xfId="2" applyFont="1"/>
    <xf numFmtId="164" fontId="2" fillId="0" borderId="0" xfId="1" applyNumberFormat="1" applyFont="1"/>
    <xf numFmtId="0" fontId="2" fillId="0" borderId="1" xfId="2" applyFont="1" applyBorder="1"/>
    <xf numFmtId="164" fontId="2" fillId="0" borderId="0" xfId="2" applyNumberFormat="1" applyFont="1"/>
    <xf numFmtId="0" fontId="4" fillId="0" borderId="0" xfId="2" applyFont="1"/>
    <xf numFmtId="164" fontId="4" fillId="0" borderId="1" xfId="1" applyNumberFormat="1" applyFont="1" applyBorder="1"/>
    <xf numFmtId="164" fontId="4" fillId="2" borderId="1" xfId="1" applyNumberFormat="1" applyFont="1" applyFill="1" applyBorder="1"/>
    <xf numFmtId="0" fontId="4" fillId="0" borderId="1" xfId="2" applyFont="1" applyBorder="1"/>
    <xf numFmtId="164" fontId="4" fillId="0" borderId="1" xfId="1" applyNumberFormat="1" applyFont="1" applyFill="1" applyBorder="1"/>
    <xf numFmtId="165" fontId="2" fillId="0" borderId="1" xfId="1" applyNumberFormat="1" applyFont="1" applyBorder="1"/>
    <xf numFmtId="165" fontId="2" fillId="2" borderId="1" xfId="1" applyNumberFormat="1" applyFont="1" applyFill="1" applyBorder="1"/>
    <xf numFmtId="165" fontId="2" fillId="0" borderId="1" xfId="1" applyNumberFormat="1" applyFont="1" applyFill="1" applyBorder="1"/>
    <xf numFmtId="5" fontId="2" fillId="0" borderId="1" xfId="1" applyNumberFormat="1" applyFont="1" applyBorder="1"/>
    <xf numFmtId="5" fontId="2" fillId="2" borderId="1" xfId="1" applyNumberFormat="1" applyFont="1" applyFill="1" applyBorder="1"/>
    <xf numFmtId="5" fontId="2" fillId="0" borderId="1" xfId="1" applyNumberFormat="1" applyFont="1" applyFill="1" applyBorder="1"/>
    <xf numFmtId="166" fontId="0" fillId="0" borderId="1" xfId="0" applyNumberFormat="1" applyBorder="1"/>
    <xf numFmtId="5" fontId="2" fillId="0" borderId="2" xfId="1" applyNumberFormat="1" applyFont="1" applyBorder="1"/>
    <xf numFmtId="166" fontId="0" fillId="2" borderId="1" xfId="0" applyNumberFormat="1" applyFill="1" applyBorder="1"/>
    <xf numFmtId="5" fontId="2" fillId="2" borderId="2" xfId="1" applyNumberFormat="1" applyFont="1" applyFill="1" applyBorder="1"/>
    <xf numFmtId="5" fontId="2" fillId="0" borderId="2" xfId="1" applyNumberFormat="1" applyFont="1" applyFill="1" applyBorder="1"/>
    <xf numFmtId="165" fontId="2" fillId="0" borderId="0" xfId="2" applyNumberFormat="1" applyFont="1"/>
    <xf numFmtId="9" fontId="2" fillId="0" borderId="0" xfId="1" applyNumberFormat="1" applyFont="1"/>
  </cellXfs>
  <cellStyles count="3">
    <cellStyle name="Comma" xfId="1" builtinId="3"/>
    <cellStyle name="Normal" xfId="0" builtinId="0"/>
    <cellStyle name="Normal 2" xfId="2" xr:uid="{1A74A0B3-4270-436E-9CAA-DD45D6CEC2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nrdc1-my.sharepoint.com/personal/ahui_nrdc_org/Documents/Home%20Drive%20Files/Salary%20Bands%20Revisit/2022%20New%20Salary%20Bands/Analysis-130%25%20range%20spread/New%20Proposed%20Salary%20Ranges%20Impact%20Analysis%2050%25%20spread%2010-19-2022.xlsx?16833D93" TargetMode="External"/><Relationship Id="rId1" Type="http://schemas.openxmlformats.org/officeDocument/2006/relationships/externalLinkPath" Target="file:///\\16833D93\New%20Proposed%20Salary%20Ranges%20Impact%20Analysis%2050%25%20spread%2010-19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J Before &amp; After"/>
      <sheetName val="Before &amp; After (Values)"/>
      <sheetName val="Relativity (old)"/>
      <sheetName val="Job Relativity"/>
      <sheetName val="Before &amp; After"/>
      <sheetName val="demo for new ranges"/>
      <sheetName val="demo Advocacy vs Legal"/>
      <sheetName val="Before &amp; After AdvocacyvsLegal"/>
      <sheetName val="Expanded Current (50%)"/>
      <sheetName val="Pivot"/>
      <sheetName val="Analysis"/>
      <sheetName val="CEO pay ratio"/>
      <sheetName val="dev-vlookup"/>
      <sheetName val="CR+AA Determine"/>
      <sheetName val="Budget Allocation"/>
      <sheetName val="Graphics1"/>
      <sheetName val="Graphics2"/>
      <sheetName val="Graphics3"/>
      <sheetName val="Graphics4"/>
      <sheetName val="Pivot-Avg Salary"/>
      <sheetName val="Current Salary Ranges"/>
      <sheetName val="Family Distribution"/>
      <sheetName val="Expanded Current (Old)"/>
      <sheetName val="Expanded Current (what-if)"/>
      <sheetName val="Lookup1-1 Scale"/>
      <sheetName val="Expanded Current (old version)"/>
      <sheetName val="Expanded Current (30%)"/>
      <sheetName val="Expanded Current (How)"/>
      <sheetName val="temp-s1"/>
      <sheetName val="Pivot-new job level"/>
      <sheetName val="Job Level Graphics"/>
      <sheetName val="Maxed out (30%)"/>
      <sheetName val="Impact"/>
      <sheetName val="Pivot-CR"/>
      <sheetName val="Grouping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B2FA-B7F5-41F3-8130-E0F8B27A840D}">
  <dimension ref="A1:I249"/>
  <sheetViews>
    <sheetView tabSelected="1" topLeftCell="A235" zoomScale="90" zoomScaleNormal="90" workbookViewId="0">
      <selection activeCell="C257" sqref="C257"/>
    </sheetView>
  </sheetViews>
  <sheetFormatPr defaultColWidth="8.85546875" defaultRowHeight="15"/>
  <cols>
    <col min="1" max="1" width="33.7109375" style="1" customWidth="1"/>
    <col min="2" max="4" width="12.7109375" style="2" customWidth="1"/>
    <col min="5" max="5" width="8.85546875" style="1"/>
    <col min="6" max="6" width="19.42578125" style="1" bestFit="1" customWidth="1"/>
    <col min="7" max="16384" width="8.85546875" style="1"/>
  </cols>
  <sheetData>
    <row r="1" spans="1:6" s="5" customFormat="1" ht="18" customHeight="1">
      <c r="A1" s="8" t="s">
        <v>0</v>
      </c>
      <c r="B1" s="6" t="s">
        <v>1</v>
      </c>
      <c r="C1" s="7" t="s">
        <v>2</v>
      </c>
      <c r="D1" s="9" t="s">
        <v>3</v>
      </c>
    </row>
    <row r="2" spans="1:6" ht="18" customHeight="1">
      <c r="A2" s="3" t="s">
        <v>4</v>
      </c>
      <c r="B2" s="13">
        <f t="shared" ref="B2:B10" si="0">C2*0.8</f>
        <v>46400</v>
      </c>
      <c r="C2" s="14">
        <v>58000</v>
      </c>
      <c r="D2" s="15">
        <f t="shared" ref="D2:D10" si="1">C2*1.2</f>
        <v>69600</v>
      </c>
    </row>
    <row r="3" spans="1:6" ht="18" customHeight="1">
      <c r="A3" s="3" t="s">
        <v>5</v>
      </c>
      <c r="B3" s="13">
        <f t="shared" si="0"/>
        <v>57600</v>
      </c>
      <c r="C3" s="14">
        <v>72000</v>
      </c>
      <c r="D3" s="15">
        <f t="shared" si="1"/>
        <v>86400</v>
      </c>
    </row>
    <row r="4" spans="1:6" ht="18" customHeight="1">
      <c r="A4" s="3" t="s">
        <v>6</v>
      </c>
      <c r="B4" s="13">
        <f t="shared" si="0"/>
        <v>68000</v>
      </c>
      <c r="C4" s="14">
        <v>85000</v>
      </c>
      <c r="D4" s="15">
        <f t="shared" si="1"/>
        <v>102000</v>
      </c>
    </row>
    <row r="5" spans="1:6" ht="18" customHeight="1">
      <c r="A5" s="3" t="s">
        <v>7</v>
      </c>
      <c r="B5" s="13">
        <f t="shared" si="0"/>
        <v>80000</v>
      </c>
      <c r="C5" s="14">
        <v>100000</v>
      </c>
      <c r="D5" s="15">
        <f t="shared" si="1"/>
        <v>120000</v>
      </c>
    </row>
    <row r="6" spans="1:6" ht="18" customHeight="1">
      <c r="A6" s="3" t="s">
        <v>8</v>
      </c>
      <c r="B6" s="13">
        <f t="shared" si="0"/>
        <v>104000</v>
      </c>
      <c r="C6" s="14">
        <v>130000</v>
      </c>
      <c r="D6" s="15">
        <f t="shared" si="1"/>
        <v>156000</v>
      </c>
    </row>
    <row r="7" spans="1:6" ht="18" customHeight="1">
      <c r="A7" s="3" t="s">
        <v>9</v>
      </c>
      <c r="B7" s="13">
        <f t="shared" si="0"/>
        <v>116000</v>
      </c>
      <c r="C7" s="14">
        <v>145000</v>
      </c>
      <c r="D7" s="15">
        <f t="shared" si="1"/>
        <v>174000</v>
      </c>
    </row>
    <row r="8" spans="1:6" ht="18" customHeight="1">
      <c r="A8" s="3" t="s">
        <v>10</v>
      </c>
      <c r="B8" s="13">
        <f t="shared" si="0"/>
        <v>128000</v>
      </c>
      <c r="C8" s="14">
        <v>160000</v>
      </c>
      <c r="D8" s="15">
        <f t="shared" si="1"/>
        <v>192000</v>
      </c>
      <c r="F8" s="4"/>
    </row>
    <row r="9" spans="1:6" ht="18" customHeight="1">
      <c r="A9" s="3" t="s">
        <v>11</v>
      </c>
      <c r="B9" s="13">
        <f t="shared" si="0"/>
        <v>152000</v>
      </c>
      <c r="C9" s="14">
        <v>190000</v>
      </c>
      <c r="D9" s="15">
        <f t="shared" si="1"/>
        <v>228000</v>
      </c>
    </row>
    <row r="10" spans="1:6" ht="18" customHeight="1">
      <c r="A10" s="3" t="s">
        <v>12</v>
      </c>
      <c r="B10" s="13">
        <f t="shared" si="0"/>
        <v>176000</v>
      </c>
      <c r="C10" s="14">
        <v>220000</v>
      </c>
      <c r="D10" s="15">
        <f t="shared" si="1"/>
        <v>264000</v>
      </c>
    </row>
    <row r="11" spans="1:6" ht="18" customHeight="1">
      <c r="A11" s="3" t="s">
        <v>13</v>
      </c>
      <c r="B11" s="13">
        <v>60000</v>
      </c>
      <c r="C11" s="14">
        <v>70000</v>
      </c>
      <c r="D11" s="15">
        <v>78000</v>
      </c>
    </row>
    <row r="12" spans="1:6" ht="18" customHeight="1">
      <c r="A12" s="3" t="s">
        <v>14</v>
      </c>
      <c r="B12" s="13">
        <f t="shared" ref="B12:B28" si="2">C12*0.8</f>
        <v>72000</v>
      </c>
      <c r="C12" s="14">
        <v>90000</v>
      </c>
      <c r="D12" s="15">
        <f t="shared" ref="D12:D28" si="3">C12*1.2</f>
        <v>108000</v>
      </c>
    </row>
    <row r="13" spans="1:6" ht="18" customHeight="1">
      <c r="A13" s="3" t="s">
        <v>15</v>
      </c>
      <c r="B13" s="13">
        <f t="shared" si="2"/>
        <v>88000</v>
      </c>
      <c r="C13" s="14">
        <v>110000</v>
      </c>
      <c r="D13" s="15">
        <f t="shared" si="3"/>
        <v>132000</v>
      </c>
    </row>
    <row r="14" spans="1:6" ht="18" customHeight="1">
      <c r="A14" s="3" t="s">
        <v>16</v>
      </c>
      <c r="B14" s="13">
        <f t="shared" si="2"/>
        <v>116000</v>
      </c>
      <c r="C14" s="14">
        <v>145000</v>
      </c>
      <c r="D14" s="15">
        <f t="shared" si="3"/>
        <v>174000</v>
      </c>
    </row>
    <row r="15" spans="1:6" ht="18" customHeight="1">
      <c r="A15" s="3" t="s">
        <v>17</v>
      </c>
      <c r="B15" s="13">
        <f t="shared" si="2"/>
        <v>128000</v>
      </c>
      <c r="C15" s="14">
        <v>160000</v>
      </c>
      <c r="D15" s="15">
        <f t="shared" si="3"/>
        <v>192000</v>
      </c>
    </row>
    <row r="16" spans="1:6" ht="18" customHeight="1">
      <c r="A16" s="3" t="s">
        <v>18</v>
      </c>
      <c r="B16" s="13">
        <f t="shared" si="2"/>
        <v>144000</v>
      </c>
      <c r="C16" s="14">
        <v>180000</v>
      </c>
      <c r="D16" s="15">
        <f t="shared" si="3"/>
        <v>216000</v>
      </c>
    </row>
    <row r="17" spans="1:6" ht="18" customHeight="1">
      <c r="A17" s="3" t="s">
        <v>19</v>
      </c>
      <c r="B17" s="13">
        <f t="shared" si="2"/>
        <v>36800</v>
      </c>
      <c r="C17" s="14">
        <v>46000</v>
      </c>
      <c r="D17" s="15">
        <f t="shared" si="3"/>
        <v>55200</v>
      </c>
    </row>
    <row r="18" spans="1:6" ht="18" customHeight="1">
      <c r="A18" s="3" t="s">
        <v>20</v>
      </c>
      <c r="B18" s="13">
        <f t="shared" si="2"/>
        <v>46400</v>
      </c>
      <c r="C18" s="14">
        <v>58000</v>
      </c>
      <c r="D18" s="15">
        <f t="shared" si="3"/>
        <v>69600</v>
      </c>
    </row>
    <row r="19" spans="1:6" ht="18" customHeight="1">
      <c r="A19" s="3" t="s">
        <v>21</v>
      </c>
      <c r="B19" s="13">
        <f t="shared" si="2"/>
        <v>57600</v>
      </c>
      <c r="C19" s="14">
        <v>72000</v>
      </c>
      <c r="D19" s="15">
        <f t="shared" si="3"/>
        <v>86400</v>
      </c>
    </row>
    <row r="20" spans="1:6" ht="18" customHeight="1">
      <c r="A20" s="3" t="s">
        <v>22</v>
      </c>
      <c r="B20" s="13">
        <f t="shared" si="2"/>
        <v>46400</v>
      </c>
      <c r="C20" s="14">
        <v>58000</v>
      </c>
      <c r="D20" s="15">
        <f t="shared" si="3"/>
        <v>69600</v>
      </c>
    </row>
    <row r="21" spans="1:6" ht="18" customHeight="1">
      <c r="A21" s="3" t="s">
        <v>23</v>
      </c>
      <c r="B21" s="13">
        <f t="shared" si="2"/>
        <v>57600</v>
      </c>
      <c r="C21" s="14">
        <v>72000</v>
      </c>
      <c r="D21" s="15">
        <f t="shared" si="3"/>
        <v>86400</v>
      </c>
    </row>
    <row r="22" spans="1:6" ht="18" customHeight="1">
      <c r="A22" s="3" t="s">
        <v>24</v>
      </c>
      <c r="B22" s="13">
        <f t="shared" si="2"/>
        <v>68000</v>
      </c>
      <c r="C22" s="14">
        <v>85000</v>
      </c>
      <c r="D22" s="15">
        <f t="shared" si="3"/>
        <v>102000</v>
      </c>
    </row>
    <row r="23" spans="1:6" ht="18" customHeight="1">
      <c r="A23" s="3" t="s">
        <v>25</v>
      </c>
      <c r="B23" s="13">
        <f t="shared" si="2"/>
        <v>88000</v>
      </c>
      <c r="C23" s="14">
        <v>110000</v>
      </c>
      <c r="D23" s="15">
        <f t="shared" si="3"/>
        <v>132000</v>
      </c>
      <c r="F23" s="4"/>
    </row>
    <row r="24" spans="1:6" ht="18" customHeight="1">
      <c r="A24" s="3" t="s">
        <v>26</v>
      </c>
      <c r="B24" s="13">
        <f t="shared" si="2"/>
        <v>114400</v>
      </c>
      <c r="C24" s="14">
        <v>143000</v>
      </c>
      <c r="D24" s="15">
        <f t="shared" si="3"/>
        <v>171600</v>
      </c>
    </row>
    <row r="25" spans="1:6" ht="18" customHeight="1">
      <c r="A25" s="3" t="s">
        <v>27</v>
      </c>
      <c r="B25" s="13">
        <f t="shared" si="2"/>
        <v>120000</v>
      </c>
      <c r="C25" s="14">
        <v>150000</v>
      </c>
      <c r="D25" s="15">
        <f t="shared" si="3"/>
        <v>180000</v>
      </c>
    </row>
    <row r="26" spans="1:6" ht="18" customHeight="1">
      <c r="A26" s="3" t="s">
        <v>28</v>
      </c>
      <c r="B26" s="13">
        <f t="shared" si="2"/>
        <v>144000</v>
      </c>
      <c r="C26" s="14">
        <v>180000</v>
      </c>
      <c r="D26" s="15">
        <f t="shared" si="3"/>
        <v>216000</v>
      </c>
    </row>
    <row r="27" spans="1:6" ht="18" customHeight="1">
      <c r="A27" s="3" t="s">
        <v>29</v>
      </c>
      <c r="B27" s="13">
        <f t="shared" si="2"/>
        <v>160000</v>
      </c>
      <c r="C27" s="14">
        <v>200000</v>
      </c>
      <c r="D27" s="15">
        <f t="shared" si="3"/>
        <v>240000</v>
      </c>
    </row>
    <row r="28" spans="1:6" ht="18" customHeight="1">
      <c r="A28" s="3" t="s">
        <v>30</v>
      </c>
      <c r="B28" s="13">
        <f t="shared" si="2"/>
        <v>184000</v>
      </c>
      <c r="C28" s="14">
        <v>230000</v>
      </c>
      <c r="D28" s="15">
        <f t="shared" si="3"/>
        <v>276000</v>
      </c>
    </row>
    <row r="29" spans="1:6" ht="18" customHeight="1">
      <c r="A29" s="3" t="s">
        <v>31</v>
      </c>
      <c r="B29" s="13">
        <v>65000</v>
      </c>
      <c r="C29" s="14">
        <v>75000</v>
      </c>
      <c r="D29" s="15">
        <v>85000</v>
      </c>
    </row>
    <row r="30" spans="1:6" ht="18" customHeight="1">
      <c r="A30" s="3" t="s">
        <v>32</v>
      </c>
      <c r="B30" s="13">
        <f>C30*0.8</f>
        <v>80000</v>
      </c>
      <c r="C30" s="14">
        <v>100000</v>
      </c>
      <c r="D30" s="15">
        <f>C30*1.2</f>
        <v>120000</v>
      </c>
    </row>
    <row r="31" spans="1:6" ht="18" customHeight="1">
      <c r="A31" s="3" t="s">
        <v>33</v>
      </c>
      <c r="B31" s="13">
        <f>C31*0.8</f>
        <v>104000</v>
      </c>
      <c r="C31" s="14">
        <v>130000</v>
      </c>
      <c r="D31" s="15">
        <f>C31*1.2</f>
        <v>156000</v>
      </c>
    </row>
    <row r="32" spans="1:6" ht="18" customHeight="1">
      <c r="A32" s="3" t="s">
        <v>34</v>
      </c>
      <c r="B32" s="16">
        <v>99800</v>
      </c>
      <c r="C32" s="18">
        <v>124700</v>
      </c>
      <c r="D32" s="16">
        <v>149700</v>
      </c>
    </row>
    <row r="33" spans="1:6" ht="18" customHeight="1">
      <c r="A33" s="3" t="s">
        <v>35</v>
      </c>
      <c r="B33" s="13">
        <f t="shared" ref="B33:B44" si="4">C33*0.8</f>
        <v>120000</v>
      </c>
      <c r="C33" s="14">
        <v>150000</v>
      </c>
      <c r="D33" s="15">
        <f t="shared" ref="D33:D44" si="5">C33*1.2</f>
        <v>180000</v>
      </c>
    </row>
    <row r="34" spans="1:6" ht="18" customHeight="1">
      <c r="A34" s="3" t="s">
        <v>36</v>
      </c>
      <c r="B34" s="13">
        <f t="shared" si="4"/>
        <v>144000</v>
      </c>
      <c r="C34" s="14">
        <v>180000</v>
      </c>
      <c r="D34" s="15">
        <f t="shared" si="5"/>
        <v>216000</v>
      </c>
    </row>
    <row r="35" spans="1:6" ht="18" customHeight="1">
      <c r="A35" s="3" t="s">
        <v>37</v>
      </c>
      <c r="B35" s="13">
        <f t="shared" si="4"/>
        <v>172000</v>
      </c>
      <c r="C35" s="14">
        <v>215000</v>
      </c>
      <c r="D35" s="15">
        <f t="shared" si="5"/>
        <v>258000</v>
      </c>
    </row>
    <row r="36" spans="1:6" ht="18" customHeight="1">
      <c r="A36" s="3" t="s">
        <v>38</v>
      </c>
      <c r="B36" s="10">
        <f t="shared" si="4"/>
        <v>138400</v>
      </c>
      <c r="C36" s="11">
        <v>173000</v>
      </c>
      <c r="D36" s="12">
        <f t="shared" si="5"/>
        <v>207600</v>
      </c>
    </row>
    <row r="37" spans="1:6" ht="18" customHeight="1">
      <c r="A37" s="3" t="s">
        <v>39</v>
      </c>
      <c r="B37" s="10">
        <f t="shared" si="4"/>
        <v>191200</v>
      </c>
      <c r="C37" s="11">
        <v>239000</v>
      </c>
      <c r="D37" s="12">
        <f t="shared" si="5"/>
        <v>286800</v>
      </c>
    </row>
    <row r="38" spans="1:6" ht="18" customHeight="1">
      <c r="A38" s="3" t="s">
        <v>40</v>
      </c>
      <c r="B38" s="10">
        <f t="shared" si="4"/>
        <v>225600</v>
      </c>
      <c r="C38" s="11">
        <v>282000</v>
      </c>
      <c r="D38" s="12">
        <f t="shared" si="5"/>
        <v>338400</v>
      </c>
      <c r="F38" s="4"/>
    </row>
    <row r="39" spans="1:6" ht="18" customHeight="1">
      <c r="A39" s="3" t="s">
        <v>41</v>
      </c>
      <c r="B39" s="10">
        <f t="shared" si="4"/>
        <v>312800</v>
      </c>
      <c r="C39" s="11">
        <v>391000</v>
      </c>
      <c r="D39" s="12">
        <f t="shared" si="5"/>
        <v>469200</v>
      </c>
    </row>
    <row r="40" spans="1:6" ht="18" customHeight="1">
      <c r="A40" s="3" t="s">
        <v>42</v>
      </c>
      <c r="B40" s="10">
        <f t="shared" si="4"/>
        <v>433600</v>
      </c>
      <c r="C40" s="11">
        <v>542000</v>
      </c>
      <c r="D40" s="12">
        <f t="shared" si="5"/>
        <v>650400</v>
      </c>
    </row>
    <row r="41" spans="1:6" ht="18" customHeight="1">
      <c r="A41" s="3" t="s">
        <v>43</v>
      </c>
      <c r="B41" s="10">
        <f t="shared" si="4"/>
        <v>511200</v>
      </c>
      <c r="C41" s="11">
        <v>639000</v>
      </c>
      <c r="D41" s="12">
        <f t="shared" si="5"/>
        <v>766800</v>
      </c>
    </row>
    <row r="42" spans="1:6" ht="18" customHeight="1">
      <c r="A42" s="3" t="s">
        <v>44</v>
      </c>
      <c r="B42" s="10">
        <f t="shared" si="4"/>
        <v>602400</v>
      </c>
      <c r="C42" s="11">
        <v>753000</v>
      </c>
      <c r="D42" s="12">
        <f t="shared" si="5"/>
        <v>903600</v>
      </c>
    </row>
    <row r="43" spans="1:6" ht="18" customHeight="1">
      <c r="A43" s="3" t="s">
        <v>45</v>
      </c>
      <c r="B43" s="10">
        <f t="shared" si="4"/>
        <v>709600</v>
      </c>
      <c r="C43" s="11">
        <v>887000</v>
      </c>
      <c r="D43" s="12">
        <f t="shared" si="5"/>
        <v>1064400</v>
      </c>
      <c r="F43" s="21"/>
    </row>
    <row r="44" spans="1:6" ht="18" customHeight="1">
      <c r="A44" s="3" t="s">
        <v>46</v>
      </c>
      <c r="B44" s="10">
        <f t="shared" si="4"/>
        <v>1250400</v>
      </c>
      <c r="C44" s="11">
        <v>1563000</v>
      </c>
      <c r="D44" s="12">
        <f t="shared" si="5"/>
        <v>1875600</v>
      </c>
    </row>
    <row r="45" spans="1:6" ht="18" customHeight="1">
      <c r="A45" s="3" t="s">
        <v>47</v>
      </c>
      <c r="B45" s="10">
        <v>208000</v>
      </c>
      <c r="C45" s="11">
        <v>239000</v>
      </c>
      <c r="D45" s="12">
        <v>271000</v>
      </c>
    </row>
    <row r="46" spans="1:6" ht="18" customHeight="1">
      <c r="A46" s="3" t="s">
        <v>48</v>
      </c>
      <c r="B46" s="10">
        <f t="shared" ref="B46:B59" si="6">C46*0.8</f>
        <v>265600</v>
      </c>
      <c r="C46" s="11">
        <v>332000</v>
      </c>
      <c r="D46" s="12">
        <f t="shared" ref="D46:D59" si="7">C46*1.2</f>
        <v>398400</v>
      </c>
    </row>
    <row r="47" spans="1:6" ht="18" customHeight="1">
      <c r="A47" s="3" t="s">
        <v>49</v>
      </c>
      <c r="B47" s="10">
        <f t="shared" si="6"/>
        <v>368000</v>
      </c>
      <c r="C47" s="11">
        <v>460000</v>
      </c>
      <c r="D47" s="12">
        <f t="shared" si="7"/>
        <v>552000</v>
      </c>
    </row>
    <row r="48" spans="1:6" ht="18" customHeight="1">
      <c r="A48" s="3" t="s">
        <v>50</v>
      </c>
      <c r="B48" s="10">
        <f t="shared" si="6"/>
        <v>511200</v>
      </c>
      <c r="C48" s="11">
        <v>639000</v>
      </c>
      <c r="D48" s="12">
        <f t="shared" si="7"/>
        <v>766800</v>
      </c>
    </row>
    <row r="49" spans="1:6" ht="18" customHeight="1">
      <c r="A49" s="3" t="s">
        <v>51</v>
      </c>
      <c r="B49" s="10">
        <f t="shared" si="6"/>
        <v>602400</v>
      </c>
      <c r="C49" s="11">
        <v>753000</v>
      </c>
      <c r="D49" s="12">
        <f t="shared" si="7"/>
        <v>903600</v>
      </c>
    </row>
    <row r="50" spans="1:6" ht="18" customHeight="1">
      <c r="A50" s="3" t="s">
        <v>52</v>
      </c>
      <c r="B50" s="10">
        <f t="shared" si="6"/>
        <v>772000</v>
      </c>
      <c r="C50" s="11">
        <v>965000</v>
      </c>
      <c r="D50" s="12">
        <f t="shared" si="7"/>
        <v>1158000</v>
      </c>
    </row>
    <row r="51" spans="1:6" ht="18" customHeight="1">
      <c r="A51" s="3" t="s">
        <v>53</v>
      </c>
      <c r="B51" s="13">
        <f t="shared" si="6"/>
        <v>46400</v>
      </c>
      <c r="C51" s="14">
        <v>58000</v>
      </c>
      <c r="D51" s="15">
        <f t="shared" si="7"/>
        <v>69600</v>
      </c>
    </row>
    <row r="52" spans="1:6" ht="18" customHeight="1">
      <c r="A52" s="3" t="s">
        <v>54</v>
      </c>
      <c r="B52" s="13">
        <f t="shared" si="6"/>
        <v>57600</v>
      </c>
      <c r="C52" s="14">
        <v>72000</v>
      </c>
      <c r="D52" s="15">
        <f t="shared" si="7"/>
        <v>86400</v>
      </c>
    </row>
    <row r="53" spans="1:6" ht="18" customHeight="1">
      <c r="A53" s="3" t="s">
        <v>55</v>
      </c>
      <c r="B53" s="13">
        <f t="shared" si="6"/>
        <v>68000</v>
      </c>
      <c r="C53" s="14">
        <v>85000</v>
      </c>
      <c r="D53" s="15">
        <f t="shared" si="7"/>
        <v>102000</v>
      </c>
      <c r="F53" s="4"/>
    </row>
    <row r="54" spans="1:6" ht="18" customHeight="1">
      <c r="A54" s="3" t="s">
        <v>56</v>
      </c>
      <c r="B54" s="13">
        <f t="shared" si="6"/>
        <v>84000</v>
      </c>
      <c r="C54" s="14">
        <v>105000</v>
      </c>
      <c r="D54" s="15">
        <f t="shared" si="7"/>
        <v>126000</v>
      </c>
    </row>
    <row r="55" spans="1:6" ht="18" customHeight="1">
      <c r="A55" s="3" t="s">
        <v>57</v>
      </c>
      <c r="B55" s="13">
        <f t="shared" si="6"/>
        <v>104000</v>
      </c>
      <c r="C55" s="14">
        <v>130000</v>
      </c>
      <c r="D55" s="15">
        <f t="shared" si="7"/>
        <v>156000</v>
      </c>
    </row>
    <row r="56" spans="1:6" ht="18" customHeight="1">
      <c r="A56" s="3" t="s">
        <v>58</v>
      </c>
      <c r="B56" s="13">
        <f t="shared" si="6"/>
        <v>116000</v>
      </c>
      <c r="C56" s="14">
        <v>145000</v>
      </c>
      <c r="D56" s="15">
        <f t="shared" si="7"/>
        <v>174000</v>
      </c>
    </row>
    <row r="57" spans="1:6" ht="18" customHeight="1">
      <c r="A57" s="3" t="s">
        <v>59</v>
      </c>
      <c r="B57" s="13">
        <f t="shared" si="6"/>
        <v>128000</v>
      </c>
      <c r="C57" s="14">
        <v>160000</v>
      </c>
      <c r="D57" s="15">
        <f t="shared" si="7"/>
        <v>192000</v>
      </c>
    </row>
    <row r="58" spans="1:6" ht="18" customHeight="1">
      <c r="A58" s="3" t="s">
        <v>60</v>
      </c>
      <c r="B58" s="13">
        <f t="shared" si="6"/>
        <v>152000</v>
      </c>
      <c r="C58" s="14">
        <v>190000</v>
      </c>
      <c r="D58" s="15">
        <f t="shared" si="7"/>
        <v>228000</v>
      </c>
    </row>
    <row r="59" spans="1:6" ht="18" customHeight="1">
      <c r="A59" s="3" t="s">
        <v>61</v>
      </c>
      <c r="B59" s="13">
        <f t="shared" si="6"/>
        <v>176000</v>
      </c>
      <c r="C59" s="14">
        <v>220000</v>
      </c>
      <c r="D59" s="15">
        <f t="shared" si="7"/>
        <v>264000</v>
      </c>
    </row>
    <row r="60" spans="1:6" ht="18" customHeight="1">
      <c r="A60" s="3" t="s">
        <v>62</v>
      </c>
      <c r="B60" s="13">
        <v>65000</v>
      </c>
      <c r="C60" s="14">
        <v>75000</v>
      </c>
      <c r="D60" s="15">
        <v>85000</v>
      </c>
    </row>
    <row r="61" spans="1:6" ht="18" customHeight="1">
      <c r="A61" s="3" t="s">
        <v>63</v>
      </c>
      <c r="B61" s="13">
        <f t="shared" ref="B61:B71" si="8">C61*0.8</f>
        <v>76000</v>
      </c>
      <c r="C61" s="14">
        <v>95000</v>
      </c>
      <c r="D61" s="15">
        <f t="shared" ref="D61:D71" si="9">C61*1.2</f>
        <v>114000</v>
      </c>
    </row>
    <row r="62" spans="1:6" ht="18" customHeight="1">
      <c r="A62" s="3" t="s">
        <v>64</v>
      </c>
      <c r="B62" s="13">
        <f t="shared" si="8"/>
        <v>92000</v>
      </c>
      <c r="C62" s="14">
        <v>115000</v>
      </c>
      <c r="D62" s="15">
        <f t="shared" si="9"/>
        <v>138000</v>
      </c>
    </row>
    <row r="63" spans="1:6" ht="18" customHeight="1">
      <c r="A63" s="3" t="s">
        <v>65</v>
      </c>
      <c r="B63" s="13">
        <f t="shared" si="8"/>
        <v>116000</v>
      </c>
      <c r="C63" s="14">
        <v>145000</v>
      </c>
      <c r="D63" s="15">
        <f t="shared" si="9"/>
        <v>174000</v>
      </c>
    </row>
    <row r="64" spans="1:6" ht="18" customHeight="1">
      <c r="A64" s="3" t="s">
        <v>66</v>
      </c>
      <c r="B64" s="13">
        <f t="shared" si="8"/>
        <v>128000</v>
      </c>
      <c r="C64" s="14">
        <v>160000</v>
      </c>
      <c r="D64" s="15">
        <f t="shared" si="9"/>
        <v>192000</v>
      </c>
    </row>
    <row r="65" spans="1:6" ht="18" customHeight="1">
      <c r="A65" s="3" t="s">
        <v>67</v>
      </c>
      <c r="B65" s="13">
        <f t="shared" si="8"/>
        <v>144000</v>
      </c>
      <c r="C65" s="14">
        <v>180000</v>
      </c>
      <c r="D65" s="15">
        <f t="shared" si="9"/>
        <v>216000</v>
      </c>
    </row>
    <row r="66" spans="1:6" ht="18" customHeight="1">
      <c r="A66" s="3" t="s">
        <v>68</v>
      </c>
      <c r="B66" s="13">
        <f t="shared" si="8"/>
        <v>84000</v>
      </c>
      <c r="C66" s="14">
        <v>105000</v>
      </c>
      <c r="D66" s="15">
        <f t="shared" si="9"/>
        <v>126000</v>
      </c>
    </row>
    <row r="67" spans="1:6" ht="18" customHeight="1">
      <c r="A67" s="3" t="s">
        <v>69</v>
      </c>
      <c r="B67" s="13">
        <f t="shared" si="8"/>
        <v>108000</v>
      </c>
      <c r="C67" s="14">
        <v>135000</v>
      </c>
      <c r="D67" s="15">
        <f t="shared" si="9"/>
        <v>162000</v>
      </c>
    </row>
    <row r="68" spans="1:6" ht="18" customHeight="1">
      <c r="A68" s="3" t="s">
        <v>70</v>
      </c>
      <c r="B68" s="13">
        <f t="shared" si="8"/>
        <v>120000</v>
      </c>
      <c r="C68" s="14">
        <v>150000</v>
      </c>
      <c r="D68" s="15">
        <f t="shared" si="9"/>
        <v>180000</v>
      </c>
      <c r="F68" s="4"/>
    </row>
    <row r="69" spans="1:6" ht="18" customHeight="1">
      <c r="A69" s="3" t="s">
        <v>71</v>
      </c>
      <c r="B69" s="13">
        <f t="shared" si="8"/>
        <v>140000</v>
      </c>
      <c r="C69" s="14">
        <v>175000</v>
      </c>
      <c r="D69" s="15">
        <f t="shared" si="9"/>
        <v>210000</v>
      </c>
    </row>
    <row r="70" spans="1:6" ht="18" customHeight="1">
      <c r="A70" s="3" t="s">
        <v>72</v>
      </c>
      <c r="B70" s="13">
        <f t="shared" si="8"/>
        <v>160000</v>
      </c>
      <c r="C70" s="14">
        <v>200000</v>
      </c>
      <c r="D70" s="15">
        <f t="shared" si="9"/>
        <v>240000</v>
      </c>
    </row>
    <row r="71" spans="1:6" ht="18" customHeight="1">
      <c r="A71" s="3" t="s">
        <v>73</v>
      </c>
      <c r="B71" s="13">
        <f t="shared" si="8"/>
        <v>184000</v>
      </c>
      <c r="C71" s="14">
        <v>230000</v>
      </c>
      <c r="D71" s="15">
        <f t="shared" si="9"/>
        <v>276000</v>
      </c>
    </row>
    <row r="72" spans="1:6" ht="18" customHeight="1">
      <c r="A72" s="3" t="s">
        <v>74</v>
      </c>
      <c r="B72" s="13">
        <v>65000</v>
      </c>
      <c r="C72" s="14">
        <v>75000</v>
      </c>
      <c r="D72" s="15">
        <v>85000</v>
      </c>
    </row>
    <row r="73" spans="1:6" ht="18" customHeight="1">
      <c r="A73" s="3" t="s">
        <v>75</v>
      </c>
      <c r="B73" s="13">
        <f t="shared" ref="B73:B83" si="10">C73*0.8</f>
        <v>76000</v>
      </c>
      <c r="C73" s="14">
        <v>95000</v>
      </c>
      <c r="D73" s="15">
        <f t="shared" ref="D73:D83" si="11">C73*1.2</f>
        <v>114000</v>
      </c>
    </row>
    <row r="74" spans="1:6" ht="18" customHeight="1">
      <c r="A74" s="3" t="s">
        <v>76</v>
      </c>
      <c r="B74" s="13">
        <f t="shared" si="10"/>
        <v>96000</v>
      </c>
      <c r="C74" s="14">
        <v>120000</v>
      </c>
      <c r="D74" s="15">
        <f t="shared" si="11"/>
        <v>144000</v>
      </c>
    </row>
    <row r="75" spans="1:6" ht="18" customHeight="1">
      <c r="A75" s="3" t="s">
        <v>77</v>
      </c>
      <c r="B75" s="13">
        <f t="shared" si="10"/>
        <v>120000</v>
      </c>
      <c r="C75" s="14">
        <v>150000</v>
      </c>
      <c r="D75" s="15">
        <f t="shared" si="11"/>
        <v>180000</v>
      </c>
    </row>
    <row r="76" spans="1:6" ht="18" customHeight="1">
      <c r="A76" s="3" t="s">
        <v>78</v>
      </c>
      <c r="B76" s="13">
        <f t="shared" si="10"/>
        <v>140000</v>
      </c>
      <c r="C76" s="14">
        <v>175000</v>
      </c>
      <c r="D76" s="15">
        <f t="shared" si="11"/>
        <v>210000</v>
      </c>
    </row>
    <row r="77" spans="1:6" ht="18" customHeight="1">
      <c r="A77" s="3" t="s">
        <v>79</v>
      </c>
      <c r="B77" s="13">
        <f t="shared" si="10"/>
        <v>172000</v>
      </c>
      <c r="C77" s="14">
        <v>215000</v>
      </c>
      <c r="D77" s="15">
        <f t="shared" si="11"/>
        <v>258000</v>
      </c>
    </row>
    <row r="78" spans="1:6" ht="18" customHeight="1">
      <c r="A78" s="3" t="s">
        <v>80</v>
      </c>
      <c r="B78" s="13">
        <f t="shared" si="10"/>
        <v>80000</v>
      </c>
      <c r="C78" s="14">
        <v>100000</v>
      </c>
      <c r="D78" s="15">
        <f t="shared" si="11"/>
        <v>120000</v>
      </c>
    </row>
    <row r="79" spans="1:6" ht="18" customHeight="1">
      <c r="A79" s="3" t="s">
        <v>81</v>
      </c>
      <c r="B79" s="13">
        <f t="shared" si="10"/>
        <v>104000</v>
      </c>
      <c r="C79" s="14">
        <v>130000</v>
      </c>
      <c r="D79" s="15">
        <f t="shared" si="11"/>
        <v>156000</v>
      </c>
    </row>
    <row r="80" spans="1:6" ht="18" customHeight="1">
      <c r="A80" s="3" t="s">
        <v>82</v>
      </c>
      <c r="B80" s="13">
        <f t="shared" si="10"/>
        <v>116000</v>
      </c>
      <c r="C80" s="14">
        <v>145000</v>
      </c>
      <c r="D80" s="15">
        <f t="shared" si="11"/>
        <v>174000</v>
      </c>
    </row>
    <row r="81" spans="1:6" ht="18" customHeight="1">
      <c r="A81" s="3" t="s">
        <v>83</v>
      </c>
      <c r="B81" s="13">
        <f t="shared" si="10"/>
        <v>132000</v>
      </c>
      <c r="C81" s="14">
        <v>165000</v>
      </c>
      <c r="D81" s="15">
        <f t="shared" si="11"/>
        <v>198000</v>
      </c>
    </row>
    <row r="82" spans="1:6" ht="18" customHeight="1">
      <c r="A82" s="3" t="s">
        <v>84</v>
      </c>
      <c r="B82" s="13">
        <f t="shared" si="10"/>
        <v>152000</v>
      </c>
      <c r="C82" s="14">
        <v>190000</v>
      </c>
      <c r="D82" s="15">
        <f t="shared" si="11"/>
        <v>228000</v>
      </c>
    </row>
    <row r="83" spans="1:6" ht="18" customHeight="1">
      <c r="A83" s="3" t="s">
        <v>85</v>
      </c>
      <c r="B83" s="13">
        <f t="shared" si="10"/>
        <v>176000</v>
      </c>
      <c r="C83" s="14">
        <v>220000</v>
      </c>
      <c r="D83" s="15">
        <f t="shared" si="11"/>
        <v>264000</v>
      </c>
      <c r="F83" s="4"/>
    </row>
    <row r="84" spans="1:6" ht="18" customHeight="1">
      <c r="A84" s="3" t="s">
        <v>86</v>
      </c>
      <c r="B84" s="13">
        <v>60000</v>
      </c>
      <c r="C84" s="14">
        <v>70000</v>
      </c>
      <c r="D84" s="15">
        <v>78000</v>
      </c>
    </row>
    <row r="85" spans="1:6" ht="18" customHeight="1">
      <c r="A85" s="3" t="s">
        <v>87</v>
      </c>
      <c r="B85" s="13">
        <f t="shared" ref="B85:B101" si="12">C85*0.8</f>
        <v>72000</v>
      </c>
      <c r="C85" s="14">
        <v>90000</v>
      </c>
      <c r="D85" s="15">
        <f t="shared" ref="D85:D101" si="13">C85*1.2</f>
        <v>108000</v>
      </c>
    </row>
    <row r="86" spans="1:6" ht="18" customHeight="1">
      <c r="A86" s="3" t="s">
        <v>88</v>
      </c>
      <c r="B86" s="13">
        <f t="shared" si="12"/>
        <v>92000</v>
      </c>
      <c r="C86" s="14">
        <v>115000</v>
      </c>
      <c r="D86" s="15">
        <f t="shared" si="13"/>
        <v>138000</v>
      </c>
    </row>
    <row r="87" spans="1:6" ht="18" customHeight="1">
      <c r="A87" s="3" t="s">
        <v>89</v>
      </c>
      <c r="B87" s="13">
        <f t="shared" si="12"/>
        <v>116000</v>
      </c>
      <c r="C87" s="14">
        <v>145000</v>
      </c>
      <c r="D87" s="15">
        <f t="shared" si="13"/>
        <v>174000</v>
      </c>
    </row>
    <row r="88" spans="1:6" ht="18" customHeight="1">
      <c r="A88" s="3" t="s">
        <v>90</v>
      </c>
      <c r="B88" s="13">
        <f t="shared" si="12"/>
        <v>132000</v>
      </c>
      <c r="C88" s="14">
        <v>165000</v>
      </c>
      <c r="D88" s="15">
        <f t="shared" si="13"/>
        <v>198000</v>
      </c>
    </row>
    <row r="89" spans="1:6" ht="18" customHeight="1">
      <c r="A89" s="3" t="s">
        <v>91</v>
      </c>
      <c r="B89" s="13">
        <f t="shared" si="12"/>
        <v>166400</v>
      </c>
      <c r="C89" s="14">
        <v>208000</v>
      </c>
      <c r="D89" s="15">
        <f t="shared" si="13"/>
        <v>249600</v>
      </c>
    </row>
    <row r="90" spans="1:6" ht="18" customHeight="1">
      <c r="A90" s="3" t="s">
        <v>92</v>
      </c>
      <c r="B90" s="13">
        <f t="shared" si="12"/>
        <v>46400</v>
      </c>
      <c r="C90" s="14">
        <v>58000</v>
      </c>
      <c r="D90" s="15">
        <f t="shared" si="13"/>
        <v>69600</v>
      </c>
    </row>
    <row r="91" spans="1:6" ht="18" customHeight="1">
      <c r="A91" s="3" t="s">
        <v>93</v>
      </c>
      <c r="B91" s="13">
        <f t="shared" si="12"/>
        <v>57600</v>
      </c>
      <c r="C91" s="14">
        <v>72000</v>
      </c>
      <c r="D91" s="15">
        <f t="shared" si="13"/>
        <v>86400</v>
      </c>
    </row>
    <row r="92" spans="1:6" ht="18" customHeight="1">
      <c r="A92" s="3" t="s">
        <v>94</v>
      </c>
      <c r="B92" s="13">
        <f t="shared" si="12"/>
        <v>68000</v>
      </c>
      <c r="C92" s="14">
        <v>85000</v>
      </c>
      <c r="D92" s="15">
        <f t="shared" si="13"/>
        <v>102000</v>
      </c>
    </row>
    <row r="93" spans="1:6" ht="18" customHeight="1">
      <c r="A93" s="3" t="s">
        <v>95</v>
      </c>
      <c r="B93" s="13">
        <f t="shared" si="12"/>
        <v>46400</v>
      </c>
      <c r="C93" s="14">
        <v>58000</v>
      </c>
      <c r="D93" s="15">
        <f t="shared" si="13"/>
        <v>69600</v>
      </c>
    </row>
    <row r="94" spans="1:6" ht="18" customHeight="1">
      <c r="A94" s="3" t="s">
        <v>96</v>
      </c>
      <c r="B94" s="13">
        <f t="shared" si="12"/>
        <v>57600</v>
      </c>
      <c r="C94" s="14">
        <v>72000</v>
      </c>
      <c r="D94" s="15">
        <f t="shared" si="13"/>
        <v>86400</v>
      </c>
    </row>
    <row r="95" spans="1:6" ht="18" customHeight="1">
      <c r="A95" s="3" t="s">
        <v>97</v>
      </c>
      <c r="B95" s="13">
        <f t="shared" si="12"/>
        <v>68000</v>
      </c>
      <c r="C95" s="14">
        <v>85000</v>
      </c>
      <c r="D95" s="15">
        <f t="shared" si="13"/>
        <v>102000</v>
      </c>
    </row>
    <row r="96" spans="1:6" ht="18" customHeight="1">
      <c r="A96" s="3" t="s">
        <v>98</v>
      </c>
      <c r="B96" s="13">
        <f t="shared" si="12"/>
        <v>84000</v>
      </c>
      <c r="C96" s="14">
        <v>105000</v>
      </c>
      <c r="D96" s="15">
        <f t="shared" si="13"/>
        <v>126000</v>
      </c>
    </row>
    <row r="97" spans="1:6" ht="18" customHeight="1">
      <c r="A97" s="3" t="s">
        <v>99</v>
      </c>
      <c r="B97" s="13">
        <f t="shared" si="12"/>
        <v>104000</v>
      </c>
      <c r="C97" s="14">
        <v>130000</v>
      </c>
      <c r="D97" s="15">
        <f t="shared" si="13"/>
        <v>156000</v>
      </c>
    </row>
    <row r="98" spans="1:6" ht="18" customHeight="1">
      <c r="A98" s="3" t="s">
        <v>100</v>
      </c>
      <c r="B98" s="13">
        <f t="shared" si="12"/>
        <v>116000</v>
      </c>
      <c r="C98" s="14">
        <v>145000</v>
      </c>
      <c r="D98" s="15">
        <f t="shared" si="13"/>
        <v>174000</v>
      </c>
      <c r="F98" s="4"/>
    </row>
    <row r="99" spans="1:6" ht="18" customHeight="1">
      <c r="A99" s="3" t="s">
        <v>101</v>
      </c>
      <c r="B99" s="13">
        <f t="shared" si="12"/>
        <v>132000</v>
      </c>
      <c r="C99" s="14">
        <v>165000</v>
      </c>
      <c r="D99" s="15">
        <f t="shared" si="13"/>
        <v>198000</v>
      </c>
    </row>
    <row r="100" spans="1:6" ht="18" customHeight="1">
      <c r="A100" s="3" t="s">
        <v>102</v>
      </c>
      <c r="B100" s="13">
        <f t="shared" si="12"/>
        <v>152000</v>
      </c>
      <c r="C100" s="14">
        <v>190000</v>
      </c>
      <c r="D100" s="15">
        <f t="shared" si="13"/>
        <v>228000</v>
      </c>
    </row>
    <row r="101" spans="1:6" ht="18" customHeight="1">
      <c r="A101" s="3" t="s">
        <v>103</v>
      </c>
      <c r="B101" s="13">
        <f t="shared" si="12"/>
        <v>176000</v>
      </c>
      <c r="C101" s="14">
        <v>220000</v>
      </c>
      <c r="D101" s="15">
        <f t="shared" si="13"/>
        <v>264000</v>
      </c>
    </row>
    <row r="102" spans="1:6" ht="18" customHeight="1">
      <c r="A102" s="3" t="s">
        <v>104</v>
      </c>
      <c r="B102" s="13">
        <v>65000</v>
      </c>
      <c r="C102" s="14">
        <v>75000</v>
      </c>
      <c r="D102" s="15">
        <v>85000</v>
      </c>
    </row>
    <row r="103" spans="1:6" ht="18" customHeight="1">
      <c r="A103" s="3" t="s">
        <v>105</v>
      </c>
      <c r="B103" s="13">
        <f t="shared" ref="B103:B118" si="14">C103*0.8</f>
        <v>76000</v>
      </c>
      <c r="C103" s="14">
        <v>95000</v>
      </c>
      <c r="D103" s="15">
        <f t="shared" ref="D103:D118" si="15">C103*1.2</f>
        <v>114000</v>
      </c>
    </row>
    <row r="104" spans="1:6" ht="18" customHeight="1">
      <c r="A104" s="3" t="s">
        <v>106</v>
      </c>
      <c r="B104" s="13">
        <f t="shared" si="14"/>
        <v>92000</v>
      </c>
      <c r="C104" s="14">
        <v>115000</v>
      </c>
      <c r="D104" s="15">
        <f t="shared" si="15"/>
        <v>138000</v>
      </c>
    </row>
    <row r="105" spans="1:6" ht="18" customHeight="1">
      <c r="A105" s="3" t="s">
        <v>107</v>
      </c>
      <c r="B105" s="13">
        <f t="shared" si="14"/>
        <v>116000</v>
      </c>
      <c r="C105" s="14">
        <v>145000</v>
      </c>
      <c r="D105" s="15">
        <f t="shared" si="15"/>
        <v>174000</v>
      </c>
    </row>
    <row r="106" spans="1:6" ht="18" customHeight="1">
      <c r="A106" s="3" t="s">
        <v>108</v>
      </c>
      <c r="B106" s="13">
        <f t="shared" si="14"/>
        <v>132000</v>
      </c>
      <c r="C106" s="14">
        <v>165000</v>
      </c>
      <c r="D106" s="15">
        <f t="shared" si="15"/>
        <v>198000</v>
      </c>
    </row>
    <row r="107" spans="1:6" ht="18" customHeight="1">
      <c r="A107" s="3" t="s">
        <v>109</v>
      </c>
      <c r="B107" s="13">
        <f t="shared" si="14"/>
        <v>148000</v>
      </c>
      <c r="C107" s="14">
        <v>185000</v>
      </c>
      <c r="D107" s="15">
        <f t="shared" si="15"/>
        <v>222000</v>
      </c>
    </row>
    <row r="108" spans="1:6" ht="18" customHeight="1">
      <c r="A108" s="3" t="s">
        <v>110</v>
      </c>
      <c r="B108" s="13">
        <f t="shared" si="14"/>
        <v>76000</v>
      </c>
      <c r="C108" s="14">
        <v>95000</v>
      </c>
      <c r="D108" s="15">
        <f t="shared" si="15"/>
        <v>114000</v>
      </c>
    </row>
    <row r="109" spans="1:6" ht="18" customHeight="1">
      <c r="A109" s="3" t="s">
        <v>111</v>
      </c>
      <c r="B109" s="13">
        <f t="shared" si="14"/>
        <v>68000</v>
      </c>
      <c r="C109" s="14">
        <v>85000</v>
      </c>
      <c r="D109" s="15">
        <f t="shared" si="15"/>
        <v>102000</v>
      </c>
    </row>
    <row r="110" spans="1:6" ht="18" customHeight="1">
      <c r="A110" s="3" t="s">
        <v>112</v>
      </c>
      <c r="B110" s="13">
        <f t="shared" si="14"/>
        <v>46400</v>
      </c>
      <c r="C110" s="14">
        <v>58000</v>
      </c>
      <c r="D110" s="15">
        <f t="shared" si="15"/>
        <v>69600</v>
      </c>
    </row>
    <row r="111" spans="1:6" ht="18" customHeight="1">
      <c r="A111" s="3" t="s">
        <v>113</v>
      </c>
      <c r="B111" s="13">
        <f t="shared" si="14"/>
        <v>57600</v>
      </c>
      <c r="C111" s="14">
        <v>72000</v>
      </c>
      <c r="D111" s="15">
        <f t="shared" si="15"/>
        <v>86400</v>
      </c>
    </row>
    <row r="112" spans="1:6" ht="18" customHeight="1">
      <c r="A112" s="3" t="s">
        <v>114</v>
      </c>
      <c r="B112" s="13">
        <f t="shared" si="14"/>
        <v>68000</v>
      </c>
      <c r="C112" s="14">
        <v>85000</v>
      </c>
      <c r="D112" s="15">
        <f t="shared" si="15"/>
        <v>102000</v>
      </c>
    </row>
    <row r="113" spans="1:6" ht="18" customHeight="1">
      <c r="A113" s="3" t="s">
        <v>115</v>
      </c>
      <c r="B113" s="13">
        <f t="shared" si="14"/>
        <v>84000</v>
      </c>
      <c r="C113" s="14">
        <v>105000</v>
      </c>
      <c r="D113" s="15">
        <f t="shared" si="15"/>
        <v>126000</v>
      </c>
      <c r="F113" s="4"/>
    </row>
    <row r="114" spans="1:6" ht="18" customHeight="1">
      <c r="A114" s="3" t="s">
        <v>116</v>
      </c>
      <c r="B114" s="13">
        <f t="shared" si="14"/>
        <v>108000</v>
      </c>
      <c r="C114" s="14">
        <v>135000</v>
      </c>
      <c r="D114" s="15">
        <f t="shared" si="15"/>
        <v>162000</v>
      </c>
    </row>
    <row r="115" spans="1:6" ht="18" customHeight="1">
      <c r="A115" s="3" t="s">
        <v>117</v>
      </c>
      <c r="B115" s="13">
        <f t="shared" si="14"/>
        <v>120000</v>
      </c>
      <c r="C115" s="14">
        <v>150000</v>
      </c>
      <c r="D115" s="15">
        <f t="shared" si="15"/>
        <v>180000</v>
      </c>
    </row>
    <row r="116" spans="1:6" ht="18" customHeight="1">
      <c r="A116" s="3" t="s">
        <v>118</v>
      </c>
      <c r="B116" s="13">
        <f t="shared" si="14"/>
        <v>140000</v>
      </c>
      <c r="C116" s="14">
        <v>175000</v>
      </c>
      <c r="D116" s="15">
        <f t="shared" si="15"/>
        <v>210000</v>
      </c>
    </row>
    <row r="117" spans="1:6" ht="18" customHeight="1">
      <c r="A117" s="3" t="s">
        <v>119</v>
      </c>
      <c r="B117" s="13">
        <f t="shared" si="14"/>
        <v>160000</v>
      </c>
      <c r="C117" s="14">
        <v>200000</v>
      </c>
      <c r="D117" s="15">
        <f t="shared" si="15"/>
        <v>240000</v>
      </c>
    </row>
    <row r="118" spans="1:6" ht="18" customHeight="1">
      <c r="A118" s="3" t="s">
        <v>120</v>
      </c>
      <c r="B118" s="13">
        <f t="shared" si="14"/>
        <v>184000</v>
      </c>
      <c r="C118" s="14">
        <v>230000</v>
      </c>
      <c r="D118" s="15">
        <f t="shared" si="15"/>
        <v>276000</v>
      </c>
    </row>
    <row r="119" spans="1:6" ht="18" customHeight="1">
      <c r="A119" s="3" t="s">
        <v>121</v>
      </c>
      <c r="B119" s="13">
        <v>60000</v>
      </c>
      <c r="C119" s="14">
        <v>70000</v>
      </c>
      <c r="D119" s="15">
        <v>78000</v>
      </c>
    </row>
    <row r="120" spans="1:6" ht="18" customHeight="1">
      <c r="A120" s="3" t="s">
        <v>122</v>
      </c>
      <c r="B120" s="13">
        <f t="shared" ref="B120:B133" si="16">C120*0.8</f>
        <v>72000</v>
      </c>
      <c r="C120" s="14">
        <v>90000</v>
      </c>
      <c r="D120" s="15">
        <f t="shared" ref="D120:D133" si="17">C120*1.2</f>
        <v>108000</v>
      </c>
    </row>
    <row r="121" spans="1:6" ht="18" customHeight="1">
      <c r="A121" s="3" t="s">
        <v>123</v>
      </c>
      <c r="B121" s="13">
        <f t="shared" si="16"/>
        <v>92000</v>
      </c>
      <c r="C121" s="14">
        <v>115000</v>
      </c>
      <c r="D121" s="15">
        <f t="shared" si="17"/>
        <v>138000</v>
      </c>
    </row>
    <row r="122" spans="1:6" ht="18" customHeight="1">
      <c r="A122" s="3" t="s">
        <v>124</v>
      </c>
      <c r="B122" s="13">
        <f t="shared" si="16"/>
        <v>120000</v>
      </c>
      <c r="C122" s="14">
        <v>150000</v>
      </c>
      <c r="D122" s="15">
        <f t="shared" si="17"/>
        <v>180000</v>
      </c>
    </row>
    <row r="123" spans="1:6" ht="18" customHeight="1">
      <c r="A123" s="3" t="s">
        <v>125</v>
      </c>
      <c r="B123" s="13">
        <f t="shared" si="16"/>
        <v>140000</v>
      </c>
      <c r="C123" s="14">
        <v>175000</v>
      </c>
      <c r="D123" s="15">
        <f t="shared" si="17"/>
        <v>210000</v>
      </c>
    </row>
    <row r="124" spans="1:6" ht="18" customHeight="1">
      <c r="A124" s="3" t="s">
        <v>126</v>
      </c>
      <c r="B124" s="13">
        <f t="shared" si="16"/>
        <v>160000</v>
      </c>
      <c r="C124" s="14">
        <v>200000</v>
      </c>
      <c r="D124" s="15">
        <f t="shared" si="17"/>
        <v>240000</v>
      </c>
    </row>
    <row r="125" spans="1:6" ht="18" customHeight="1">
      <c r="A125" s="3" t="s">
        <v>127</v>
      </c>
      <c r="B125" s="13">
        <f t="shared" si="16"/>
        <v>46400</v>
      </c>
      <c r="C125" s="14">
        <v>58000</v>
      </c>
      <c r="D125" s="15">
        <f t="shared" si="17"/>
        <v>69600</v>
      </c>
    </row>
    <row r="126" spans="1:6" ht="18" customHeight="1">
      <c r="A126" s="3" t="s">
        <v>128</v>
      </c>
      <c r="B126" s="13">
        <f t="shared" si="16"/>
        <v>57600</v>
      </c>
      <c r="C126" s="14">
        <v>72000</v>
      </c>
      <c r="D126" s="15">
        <f t="shared" si="17"/>
        <v>86400</v>
      </c>
    </row>
    <row r="127" spans="1:6" ht="18" customHeight="1">
      <c r="A127" s="3" t="s">
        <v>129</v>
      </c>
      <c r="B127" s="13">
        <f t="shared" si="16"/>
        <v>68000</v>
      </c>
      <c r="C127" s="14">
        <v>85000</v>
      </c>
      <c r="D127" s="15">
        <f t="shared" si="17"/>
        <v>102000</v>
      </c>
    </row>
    <row r="128" spans="1:6" ht="18" customHeight="1">
      <c r="A128" s="3" t="s">
        <v>130</v>
      </c>
      <c r="B128" s="13">
        <f t="shared" si="16"/>
        <v>84000</v>
      </c>
      <c r="C128" s="14">
        <v>105000</v>
      </c>
      <c r="D128" s="15">
        <f t="shared" si="17"/>
        <v>126000</v>
      </c>
      <c r="F128" s="4"/>
    </row>
    <row r="129" spans="1:6" ht="18" customHeight="1">
      <c r="A129" s="3" t="s">
        <v>131</v>
      </c>
      <c r="B129" s="13">
        <f t="shared" si="16"/>
        <v>104000</v>
      </c>
      <c r="C129" s="14">
        <v>130000</v>
      </c>
      <c r="D129" s="15">
        <f t="shared" si="17"/>
        <v>156000</v>
      </c>
    </row>
    <row r="130" spans="1:6" ht="18" customHeight="1">
      <c r="A130" s="3" t="s">
        <v>132</v>
      </c>
      <c r="B130" s="13">
        <f t="shared" si="16"/>
        <v>116000</v>
      </c>
      <c r="C130" s="14">
        <v>145000</v>
      </c>
      <c r="D130" s="15">
        <f t="shared" si="17"/>
        <v>174000</v>
      </c>
    </row>
    <row r="131" spans="1:6" ht="18" customHeight="1">
      <c r="A131" s="3" t="s">
        <v>133</v>
      </c>
      <c r="B131" s="13">
        <f t="shared" si="16"/>
        <v>132000</v>
      </c>
      <c r="C131" s="14">
        <v>165000</v>
      </c>
      <c r="D131" s="15">
        <f t="shared" si="17"/>
        <v>198000</v>
      </c>
    </row>
    <row r="132" spans="1:6" ht="18" customHeight="1">
      <c r="A132" s="3" t="s">
        <v>134</v>
      </c>
      <c r="B132" s="13">
        <f t="shared" si="16"/>
        <v>152000</v>
      </c>
      <c r="C132" s="14">
        <v>190000</v>
      </c>
      <c r="D132" s="15">
        <f t="shared" si="17"/>
        <v>228000</v>
      </c>
    </row>
    <row r="133" spans="1:6" ht="18" customHeight="1">
      <c r="A133" s="3" t="s">
        <v>135</v>
      </c>
      <c r="B133" s="13">
        <f t="shared" si="16"/>
        <v>176000</v>
      </c>
      <c r="C133" s="14">
        <v>220000</v>
      </c>
      <c r="D133" s="15">
        <f t="shared" si="17"/>
        <v>264000</v>
      </c>
    </row>
    <row r="134" spans="1:6" ht="18" customHeight="1">
      <c r="A134" s="3" t="s">
        <v>136</v>
      </c>
      <c r="B134" s="13">
        <v>65000</v>
      </c>
      <c r="C134" s="14">
        <v>75000</v>
      </c>
      <c r="D134" s="15">
        <v>85000</v>
      </c>
    </row>
    <row r="135" spans="1:6" ht="18" customHeight="1">
      <c r="A135" s="3" t="s">
        <v>137</v>
      </c>
      <c r="B135" s="13">
        <f t="shared" ref="B135:B148" si="18">C135*0.8</f>
        <v>76000</v>
      </c>
      <c r="C135" s="14">
        <v>95000</v>
      </c>
      <c r="D135" s="15">
        <f t="shared" ref="D135:D148" si="19">C135*1.2</f>
        <v>114000</v>
      </c>
    </row>
    <row r="136" spans="1:6" ht="18" customHeight="1">
      <c r="A136" s="3" t="s">
        <v>138</v>
      </c>
      <c r="B136" s="13">
        <f t="shared" si="18"/>
        <v>92000</v>
      </c>
      <c r="C136" s="14">
        <v>115000</v>
      </c>
      <c r="D136" s="15">
        <f t="shared" si="19"/>
        <v>138000</v>
      </c>
    </row>
    <row r="137" spans="1:6" ht="18" customHeight="1">
      <c r="A137" s="3" t="s">
        <v>139</v>
      </c>
      <c r="B137" s="13">
        <f t="shared" si="18"/>
        <v>116000</v>
      </c>
      <c r="C137" s="14">
        <v>145000</v>
      </c>
      <c r="D137" s="15">
        <f t="shared" si="19"/>
        <v>174000</v>
      </c>
    </row>
    <row r="138" spans="1:6" ht="18" customHeight="1">
      <c r="A138" s="3" t="s">
        <v>140</v>
      </c>
      <c r="B138" s="13">
        <f t="shared" si="18"/>
        <v>132000</v>
      </c>
      <c r="C138" s="14">
        <v>165000</v>
      </c>
      <c r="D138" s="15">
        <f t="shared" si="19"/>
        <v>198000</v>
      </c>
    </row>
    <row r="139" spans="1:6" ht="18" customHeight="1">
      <c r="A139" s="3" t="s">
        <v>141</v>
      </c>
      <c r="B139" s="13">
        <f t="shared" si="18"/>
        <v>148000</v>
      </c>
      <c r="C139" s="14">
        <v>185000</v>
      </c>
      <c r="D139" s="15">
        <f t="shared" si="19"/>
        <v>222000</v>
      </c>
    </row>
    <row r="140" spans="1:6" ht="18" customHeight="1">
      <c r="A140" s="3" t="s">
        <v>142</v>
      </c>
      <c r="B140" s="13">
        <f t="shared" si="18"/>
        <v>46400</v>
      </c>
      <c r="C140" s="14">
        <v>58000</v>
      </c>
      <c r="D140" s="15">
        <f t="shared" si="19"/>
        <v>69600</v>
      </c>
    </row>
    <row r="141" spans="1:6" ht="18" customHeight="1">
      <c r="A141" s="3" t="s">
        <v>143</v>
      </c>
      <c r="B141" s="13">
        <f t="shared" si="18"/>
        <v>57600</v>
      </c>
      <c r="C141" s="14">
        <v>72000</v>
      </c>
      <c r="D141" s="15">
        <f t="shared" si="19"/>
        <v>86400</v>
      </c>
    </row>
    <row r="142" spans="1:6" ht="18" customHeight="1">
      <c r="A142" s="3" t="s">
        <v>144</v>
      </c>
      <c r="B142" s="13">
        <f t="shared" si="18"/>
        <v>68000</v>
      </c>
      <c r="C142" s="14">
        <v>85000</v>
      </c>
      <c r="D142" s="15">
        <f t="shared" si="19"/>
        <v>102000</v>
      </c>
    </row>
    <row r="143" spans="1:6" ht="18" customHeight="1">
      <c r="A143" s="3" t="s">
        <v>145</v>
      </c>
      <c r="B143" s="13">
        <f t="shared" si="18"/>
        <v>79840</v>
      </c>
      <c r="C143" s="14">
        <v>99800</v>
      </c>
      <c r="D143" s="15">
        <f t="shared" si="19"/>
        <v>119760</v>
      </c>
      <c r="F143" s="4"/>
    </row>
    <row r="144" spans="1:6" ht="18" customHeight="1">
      <c r="A144" s="3" t="s">
        <v>146</v>
      </c>
      <c r="B144" s="13">
        <f t="shared" si="18"/>
        <v>102640</v>
      </c>
      <c r="C144" s="14">
        <v>128300</v>
      </c>
      <c r="D144" s="15">
        <f t="shared" si="19"/>
        <v>153960</v>
      </c>
    </row>
    <row r="145" spans="1:9" ht="18" customHeight="1">
      <c r="A145" s="3" t="s">
        <v>147</v>
      </c>
      <c r="B145" s="13">
        <f t="shared" si="18"/>
        <v>114000</v>
      </c>
      <c r="C145" s="14">
        <v>142500</v>
      </c>
      <c r="D145" s="15">
        <f t="shared" si="19"/>
        <v>171000</v>
      </c>
    </row>
    <row r="146" spans="1:9" ht="18" customHeight="1">
      <c r="A146" s="3" t="s">
        <v>148</v>
      </c>
      <c r="B146" s="13">
        <f t="shared" si="18"/>
        <v>129200</v>
      </c>
      <c r="C146" s="14">
        <v>161500</v>
      </c>
      <c r="D146" s="15">
        <f t="shared" si="19"/>
        <v>193800</v>
      </c>
    </row>
    <row r="147" spans="1:9" ht="18" customHeight="1">
      <c r="A147" s="3" t="s">
        <v>149</v>
      </c>
      <c r="B147" s="13">
        <f t="shared" si="18"/>
        <v>144400</v>
      </c>
      <c r="C147" s="14">
        <v>180500</v>
      </c>
      <c r="D147" s="15">
        <f t="shared" si="19"/>
        <v>216600</v>
      </c>
    </row>
    <row r="148" spans="1:9" ht="18" customHeight="1">
      <c r="A148" s="3" t="s">
        <v>150</v>
      </c>
      <c r="B148" s="13">
        <f t="shared" si="18"/>
        <v>167200</v>
      </c>
      <c r="C148" s="14">
        <v>209000</v>
      </c>
      <c r="D148" s="15">
        <f t="shared" si="19"/>
        <v>250800</v>
      </c>
    </row>
    <row r="149" spans="1:9" ht="18" customHeight="1">
      <c r="A149" s="3" t="s">
        <v>151</v>
      </c>
      <c r="B149" s="13">
        <v>65000</v>
      </c>
      <c r="C149" s="14">
        <v>71300</v>
      </c>
      <c r="D149" s="15">
        <v>85000</v>
      </c>
    </row>
    <row r="150" spans="1:9" ht="18" customHeight="1">
      <c r="A150" s="3" t="s">
        <v>152</v>
      </c>
      <c r="B150" s="13">
        <f t="shared" ref="B150:B163" si="20">C150*0.8</f>
        <v>72240</v>
      </c>
      <c r="C150" s="14">
        <v>90300</v>
      </c>
      <c r="D150" s="15">
        <f t="shared" ref="D150:D163" si="21">C150*1.2</f>
        <v>108360</v>
      </c>
    </row>
    <row r="151" spans="1:9" ht="18" customHeight="1">
      <c r="A151" s="3" t="s">
        <v>153</v>
      </c>
      <c r="B151" s="13">
        <f t="shared" si="20"/>
        <v>91200</v>
      </c>
      <c r="C151" s="14">
        <v>114000</v>
      </c>
      <c r="D151" s="15">
        <f t="shared" si="21"/>
        <v>136800</v>
      </c>
    </row>
    <row r="152" spans="1:9" ht="18" customHeight="1">
      <c r="A152" s="3" t="s">
        <v>154</v>
      </c>
      <c r="B152" s="13">
        <f t="shared" si="20"/>
        <v>114000</v>
      </c>
      <c r="C152" s="14">
        <v>142500</v>
      </c>
      <c r="D152" s="15">
        <f t="shared" si="21"/>
        <v>171000</v>
      </c>
    </row>
    <row r="153" spans="1:9" ht="18" customHeight="1">
      <c r="A153" s="3" t="s">
        <v>155</v>
      </c>
      <c r="B153" s="13">
        <f t="shared" si="20"/>
        <v>129200</v>
      </c>
      <c r="C153" s="14">
        <v>161500</v>
      </c>
      <c r="D153" s="15">
        <f t="shared" si="21"/>
        <v>193800</v>
      </c>
    </row>
    <row r="154" spans="1:9" ht="18" customHeight="1">
      <c r="A154" s="3" t="s">
        <v>156</v>
      </c>
      <c r="B154" s="13">
        <f t="shared" si="20"/>
        <v>148240</v>
      </c>
      <c r="C154" s="14">
        <v>185300</v>
      </c>
      <c r="D154" s="15">
        <f t="shared" si="21"/>
        <v>222360</v>
      </c>
    </row>
    <row r="155" spans="1:9" ht="18" customHeight="1">
      <c r="A155" s="3" t="s">
        <v>157</v>
      </c>
      <c r="B155" s="13">
        <f t="shared" si="20"/>
        <v>46400</v>
      </c>
      <c r="C155" s="14">
        <v>58000</v>
      </c>
      <c r="D155" s="15">
        <f t="shared" si="21"/>
        <v>69600</v>
      </c>
    </row>
    <row r="156" spans="1:9" ht="18" customHeight="1">
      <c r="A156" s="3" t="s">
        <v>158</v>
      </c>
      <c r="B156" s="13">
        <f t="shared" si="20"/>
        <v>57600</v>
      </c>
      <c r="C156" s="14">
        <v>72000</v>
      </c>
      <c r="D156" s="15">
        <f t="shared" si="21"/>
        <v>86400</v>
      </c>
    </row>
    <row r="157" spans="1:9" ht="18" customHeight="1">
      <c r="A157" s="3" t="s">
        <v>159</v>
      </c>
      <c r="B157" s="13">
        <f t="shared" si="20"/>
        <v>68000</v>
      </c>
      <c r="C157" s="14">
        <v>85000</v>
      </c>
      <c r="D157" s="15">
        <f t="shared" si="21"/>
        <v>102000</v>
      </c>
    </row>
    <row r="158" spans="1:9" ht="18" customHeight="1">
      <c r="A158" s="3" t="s">
        <v>160</v>
      </c>
      <c r="B158" s="13">
        <f t="shared" si="20"/>
        <v>84000</v>
      </c>
      <c r="C158" s="14">
        <v>105000</v>
      </c>
      <c r="D158" s="15">
        <f t="shared" si="21"/>
        <v>126000</v>
      </c>
      <c r="I158" s="4"/>
    </row>
    <row r="159" spans="1:9" ht="18" customHeight="1">
      <c r="A159" s="3" t="s">
        <v>161</v>
      </c>
      <c r="B159" s="13">
        <f t="shared" si="20"/>
        <v>108000</v>
      </c>
      <c r="C159" s="14">
        <v>135000</v>
      </c>
      <c r="D159" s="15">
        <f t="shared" si="21"/>
        <v>162000</v>
      </c>
      <c r="I159" s="4"/>
    </row>
    <row r="160" spans="1:9" ht="18" customHeight="1">
      <c r="A160" s="3" t="s">
        <v>162</v>
      </c>
      <c r="B160" s="13">
        <f t="shared" si="20"/>
        <v>120000</v>
      </c>
      <c r="C160" s="14">
        <v>150000</v>
      </c>
      <c r="D160" s="15">
        <f t="shared" si="21"/>
        <v>180000</v>
      </c>
      <c r="I160" s="4"/>
    </row>
    <row r="161" spans="1:9" ht="18" customHeight="1">
      <c r="A161" s="3" t="s">
        <v>163</v>
      </c>
      <c r="B161" s="13">
        <f t="shared" si="20"/>
        <v>136000</v>
      </c>
      <c r="C161" s="14">
        <v>170000</v>
      </c>
      <c r="D161" s="15">
        <f t="shared" si="21"/>
        <v>204000</v>
      </c>
      <c r="I161" s="4"/>
    </row>
    <row r="162" spans="1:9" ht="18" customHeight="1">
      <c r="A162" s="3" t="s">
        <v>164</v>
      </c>
      <c r="B162" s="13">
        <f t="shared" si="20"/>
        <v>152000</v>
      </c>
      <c r="C162" s="14">
        <v>190000</v>
      </c>
      <c r="D162" s="15">
        <f t="shared" si="21"/>
        <v>228000</v>
      </c>
      <c r="I162" s="4"/>
    </row>
    <row r="163" spans="1:9" ht="18" customHeight="1">
      <c r="A163" s="3" t="s">
        <v>165</v>
      </c>
      <c r="B163" s="13">
        <f t="shared" si="20"/>
        <v>176000</v>
      </c>
      <c r="C163" s="14">
        <v>220000</v>
      </c>
      <c r="D163" s="15">
        <f t="shared" si="21"/>
        <v>264000</v>
      </c>
      <c r="F163" s="4"/>
      <c r="I163" s="4"/>
    </row>
    <row r="164" spans="1:9" ht="18" customHeight="1">
      <c r="A164" s="3" t="s">
        <v>166</v>
      </c>
      <c r="B164" s="13">
        <v>65000</v>
      </c>
      <c r="C164" s="14">
        <v>75000</v>
      </c>
      <c r="D164" s="15">
        <v>85000</v>
      </c>
      <c r="I164" s="4"/>
    </row>
    <row r="165" spans="1:9" ht="18" customHeight="1">
      <c r="A165" s="3" t="s">
        <v>167</v>
      </c>
      <c r="B165" s="13">
        <f t="shared" ref="B165:B178" si="22">C165*0.8</f>
        <v>76000</v>
      </c>
      <c r="C165" s="14">
        <v>95000</v>
      </c>
      <c r="D165" s="15">
        <f t="shared" ref="D165:D178" si="23">C165*1.2</f>
        <v>114000</v>
      </c>
      <c r="I165" s="4"/>
    </row>
    <row r="166" spans="1:9" ht="18" customHeight="1">
      <c r="A166" s="3" t="s">
        <v>168</v>
      </c>
      <c r="B166" s="13">
        <f t="shared" si="22"/>
        <v>96000</v>
      </c>
      <c r="C166" s="14">
        <v>120000</v>
      </c>
      <c r="D166" s="15">
        <f t="shared" si="23"/>
        <v>144000</v>
      </c>
      <c r="I166" s="4"/>
    </row>
    <row r="167" spans="1:9" ht="18" customHeight="1">
      <c r="A167" s="3" t="s">
        <v>169</v>
      </c>
      <c r="B167" s="13">
        <f t="shared" si="22"/>
        <v>120000</v>
      </c>
      <c r="C167" s="14">
        <v>150000</v>
      </c>
      <c r="D167" s="15">
        <f t="shared" si="23"/>
        <v>180000</v>
      </c>
      <c r="I167" s="4"/>
    </row>
    <row r="168" spans="1:9" ht="18" customHeight="1">
      <c r="A168" s="3" t="s">
        <v>170</v>
      </c>
      <c r="B168" s="13">
        <f t="shared" si="22"/>
        <v>136000</v>
      </c>
      <c r="C168" s="14">
        <v>170000</v>
      </c>
      <c r="D168" s="15">
        <f t="shared" si="23"/>
        <v>204000</v>
      </c>
      <c r="I168" s="4"/>
    </row>
    <row r="169" spans="1:9" ht="18" customHeight="1">
      <c r="A169" s="3" t="s">
        <v>171</v>
      </c>
      <c r="B169" s="13">
        <f t="shared" si="22"/>
        <v>156000</v>
      </c>
      <c r="C169" s="14">
        <v>195000</v>
      </c>
      <c r="D169" s="15">
        <f t="shared" si="23"/>
        <v>234000</v>
      </c>
      <c r="I169" s="4"/>
    </row>
    <row r="170" spans="1:9" ht="18" customHeight="1">
      <c r="A170" s="3" t="s">
        <v>172</v>
      </c>
      <c r="B170" s="13">
        <f t="shared" si="22"/>
        <v>46400</v>
      </c>
      <c r="C170" s="14">
        <v>58000</v>
      </c>
      <c r="D170" s="15">
        <f t="shared" si="23"/>
        <v>69600</v>
      </c>
      <c r="I170" s="4"/>
    </row>
    <row r="171" spans="1:9" ht="18" customHeight="1">
      <c r="A171" s="3" t="s">
        <v>173</v>
      </c>
      <c r="B171" s="13">
        <f t="shared" si="22"/>
        <v>57600</v>
      </c>
      <c r="C171" s="14">
        <v>72000</v>
      </c>
      <c r="D171" s="15">
        <f t="shared" si="23"/>
        <v>86400</v>
      </c>
      <c r="I171" s="4"/>
    </row>
    <row r="172" spans="1:9" ht="18" customHeight="1">
      <c r="A172" s="3" t="s">
        <v>174</v>
      </c>
      <c r="B172" s="13">
        <f t="shared" si="22"/>
        <v>68000</v>
      </c>
      <c r="C172" s="14">
        <v>85000</v>
      </c>
      <c r="D172" s="15">
        <f t="shared" si="23"/>
        <v>102000</v>
      </c>
    </row>
    <row r="173" spans="1:9" ht="18" customHeight="1">
      <c r="A173" s="3" t="s">
        <v>175</v>
      </c>
      <c r="B173" s="13">
        <f t="shared" si="22"/>
        <v>88000</v>
      </c>
      <c r="C173" s="14">
        <v>110000</v>
      </c>
      <c r="D173" s="15">
        <f t="shared" si="23"/>
        <v>132000</v>
      </c>
    </row>
    <row r="174" spans="1:9" ht="18" customHeight="1">
      <c r="A174" s="3" t="s">
        <v>176</v>
      </c>
      <c r="B174" s="13">
        <f t="shared" si="22"/>
        <v>110400</v>
      </c>
      <c r="C174" s="14">
        <v>138000</v>
      </c>
      <c r="D174" s="15">
        <f t="shared" si="23"/>
        <v>165600</v>
      </c>
    </row>
    <row r="175" spans="1:9" ht="18" customHeight="1">
      <c r="A175" s="3" t="s">
        <v>177</v>
      </c>
      <c r="B175" s="13">
        <f t="shared" si="22"/>
        <v>124000</v>
      </c>
      <c r="C175" s="14">
        <v>155000</v>
      </c>
      <c r="D175" s="15">
        <f t="shared" si="23"/>
        <v>186000</v>
      </c>
    </row>
    <row r="176" spans="1:9" ht="18" customHeight="1">
      <c r="A176" s="3" t="s">
        <v>178</v>
      </c>
      <c r="B176" s="13">
        <f t="shared" si="22"/>
        <v>140000</v>
      </c>
      <c r="C176" s="14">
        <v>175000</v>
      </c>
      <c r="D176" s="15">
        <f t="shared" si="23"/>
        <v>210000</v>
      </c>
    </row>
    <row r="177" spans="1:6" ht="18" customHeight="1">
      <c r="A177" s="3" t="s">
        <v>179</v>
      </c>
      <c r="B177" s="13">
        <f t="shared" si="22"/>
        <v>160000</v>
      </c>
      <c r="C177" s="14">
        <v>200000</v>
      </c>
      <c r="D177" s="15">
        <f t="shared" si="23"/>
        <v>240000</v>
      </c>
    </row>
    <row r="178" spans="1:6" ht="18" customHeight="1">
      <c r="A178" s="3" t="s">
        <v>180</v>
      </c>
      <c r="B178" s="13">
        <f t="shared" si="22"/>
        <v>184000</v>
      </c>
      <c r="C178" s="14">
        <v>230000</v>
      </c>
      <c r="D178" s="15">
        <f t="shared" si="23"/>
        <v>276000</v>
      </c>
    </row>
    <row r="179" spans="1:6" ht="18" customHeight="1">
      <c r="A179" s="3" t="s">
        <v>181</v>
      </c>
      <c r="B179" s="13">
        <v>70000</v>
      </c>
      <c r="C179" s="14">
        <v>80000</v>
      </c>
      <c r="D179" s="15">
        <v>90000</v>
      </c>
      <c r="F179" s="4"/>
    </row>
    <row r="180" spans="1:6" ht="18" customHeight="1">
      <c r="A180" s="3" t="s">
        <v>182</v>
      </c>
      <c r="B180" s="13">
        <f t="shared" ref="B180:B193" si="24">C180*0.8</f>
        <v>80000</v>
      </c>
      <c r="C180" s="14">
        <v>100000</v>
      </c>
      <c r="D180" s="15">
        <f t="shared" ref="D180:D193" si="25">C180*1.2</f>
        <v>120000</v>
      </c>
    </row>
    <row r="181" spans="1:6" ht="18" customHeight="1">
      <c r="A181" s="3" t="s">
        <v>183</v>
      </c>
      <c r="B181" s="13">
        <f t="shared" si="24"/>
        <v>100000</v>
      </c>
      <c r="C181" s="14">
        <v>125000</v>
      </c>
      <c r="D181" s="15">
        <f t="shared" si="25"/>
        <v>150000</v>
      </c>
    </row>
    <row r="182" spans="1:6" ht="18" customHeight="1">
      <c r="A182" s="3" t="s">
        <v>184</v>
      </c>
      <c r="B182" s="13">
        <f t="shared" si="24"/>
        <v>124000</v>
      </c>
      <c r="C182" s="14">
        <v>155000</v>
      </c>
      <c r="D182" s="15">
        <f t="shared" si="25"/>
        <v>186000</v>
      </c>
    </row>
    <row r="183" spans="1:6" ht="18" customHeight="1">
      <c r="A183" s="3" t="s">
        <v>185</v>
      </c>
      <c r="B183" s="13">
        <f t="shared" si="24"/>
        <v>140000</v>
      </c>
      <c r="C183" s="14">
        <v>175000</v>
      </c>
      <c r="D183" s="15">
        <f t="shared" si="25"/>
        <v>210000</v>
      </c>
    </row>
    <row r="184" spans="1:6" ht="18" customHeight="1">
      <c r="A184" s="3" t="s">
        <v>186</v>
      </c>
      <c r="B184" s="13">
        <f t="shared" si="24"/>
        <v>160000</v>
      </c>
      <c r="C184" s="14">
        <v>200000</v>
      </c>
      <c r="D184" s="15">
        <f t="shared" si="25"/>
        <v>240000</v>
      </c>
    </row>
    <row r="185" spans="1:6" ht="18" customHeight="1">
      <c r="A185" s="3" t="s">
        <v>187</v>
      </c>
      <c r="B185" s="13">
        <f t="shared" si="24"/>
        <v>50400</v>
      </c>
      <c r="C185" s="14">
        <v>63000</v>
      </c>
      <c r="D185" s="15">
        <f t="shared" si="25"/>
        <v>75600</v>
      </c>
    </row>
    <row r="186" spans="1:6" ht="18" customHeight="1">
      <c r="A186" s="3" t="s">
        <v>188</v>
      </c>
      <c r="B186" s="13">
        <f t="shared" si="24"/>
        <v>64000</v>
      </c>
      <c r="C186" s="14">
        <v>80000</v>
      </c>
      <c r="D186" s="15">
        <f t="shared" si="25"/>
        <v>96000</v>
      </c>
    </row>
    <row r="187" spans="1:6" ht="18" customHeight="1">
      <c r="A187" s="3" t="s">
        <v>189</v>
      </c>
      <c r="B187" s="13">
        <f t="shared" si="24"/>
        <v>72000</v>
      </c>
      <c r="C187" s="14">
        <v>90000</v>
      </c>
      <c r="D187" s="15">
        <f t="shared" si="25"/>
        <v>108000</v>
      </c>
    </row>
    <row r="188" spans="1:6" ht="18" customHeight="1">
      <c r="A188" s="3" t="s">
        <v>190</v>
      </c>
      <c r="B188" s="13">
        <f t="shared" si="24"/>
        <v>92000</v>
      </c>
      <c r="C188" s="14">
        <v>115000</v>
      </c>
      <c r="D188" s="15">
        <f t="shared" si="25"/>
        <v>138000</v>
      </c>
    </row>
    <row r="189" spans="1:6" ht="18" customHeight="1">
      <c r="A189" s="3" t="s">
        <v>191</v>
      </c>
      <c r="B189" s="13">
        <f t="shared" si="24"/>
        <v>116800</v>
      </c>
      <c r="C189" s="14">
        <v>146000</v>
      </c>
      <c r="D189" s="15">
        <f t="shared" si="25"/>
        <v>175200</v>
      </c>
    </row>
    <row r="190" spans="1:6" ht="18" customHeight="1">
      <c r="A190" s="3" t="s">
        <v>192</v>
      </c>
      <c r="B190" s="13">
        <f t="shared" si="24"/>
        <v>132000</v>
      </c>
      <c r="C190" s="14">
        <v>165000</v>
      </c>
      <c r="D190" s="15">
        <f t="shared" si="25"/>
        <v>198000</v>
      </c>
    </row>
    <row r="191" spans="1:6" ht="18" customHeight="1">
      <c r="A191" s="3" t="s">
        <v>193</v>
      </c>
      <c r="B191" s="13">
        <f t="shared" si="24"/>
        <v>152000</v>
      </c>
      <c r="C191" s="14">
        <v>190000</v>
      </c>
      <c r="D191" s="15">
        <f t="shared" si="25"/>
        <v>228000</v>
      </c>
    </row>
    <row r="192" spans="1:6" ht="18" customHeight="1">
      <c r="A192" s="3" t="s">
        <v>194</v>
      </c>
      <c r="B192" s="13">
        <f t="shared" si="24"/>
        <v>172000</v>
      </c>
      <c r="C192" s="14">
        <v>215000</v>
      </c>
      <c r="D192" s="15">
        <f t="shared" si="25"/>
        <v>258000</v>
      </c>
    </row>
    <row r="193" spans="1:6" ht="18" customHeight="1">
      <c r="A193" s="3" t="s">
        <v>195</v>
      </c>
      <c r="B193" s="13">
        <f t="shared" si="24"/>
        <v>192000</v>
      </c>
      <c r="C193" s="14">
        <v>240000</v>
      </c>
      <c r="D193" s="15">
        <f t="shared" si="25"/>
        <v>288000</v>
      </c>
    </row>
    <row r="194" spans="1:6" ht="18" customHeight="1">
      <c r="A194" s="3" t="s">
        <v>196</v>
      </c>
      <c r="B194" s="13">
        <v>70000</v>
      </c>
      <c r="C194" s="14">
        <v>80000</v>
      </c>
      <c r="D194" s="15">
        <v>90000</v>
      </c>
      <c r="F194" s="4"/>
    </row>
    <row r="195" spans="1:6" ht="18" customHeight="1">
      <c r="A195" s="3" t="s">
        <v>197</v>
      </c>
      <c r="B195" s="13">
        <f t="shared" ref="B195:B208" si="26">C195*0.8</f>
        <v>84000</v>
      </c>
      <c r="C195" s="14">
        <v>105000</v>
      </c>
      <c r="D195" s="15">
        <f t="shared" ref="D195:D208" si="27">C195*1.2</f>
        <v>126000</v>
      </c>
    </row>
    <row r="196" spans="1:6" ht="18" customHeight="1">
      <c r="A196" s="3" t="s">
        <v>198</v>
      </c>
      <c r="B196" s="13">
        <f t="shared" si="26"/>
        <v>106400</v>
      </c>
      <c r="C196" s="14">
        <v>133000</v>
      </c>
      <c r="D196" s="15">
        <f t="shared" si="27"/>
        <v>159600</v>
      </c>
    </row>
    <row r="197" spans="1:6" ht="18" customHeight="1">
      <c r="A197" s="3" t="s">
        <v>199</v>
      </c>
      <c r="B197" s="13">
        <f t="shared" si="26"/>
        <v>132000</v>
      </c>
      <c r="C197" s="14">
        <v>165000</v>
      </c>
      <c r="D197" s="15">
        <f t="shared" si="27"/>
        <v>198000</v>
      </c>
    </row>
    <row r="198" spans="1:6" ht="18" customHeight="1">
      <c r="A198" s="3" t="s">
        <v>200</v>
      </c>
      <c r="B198" s="13">
        <f t="shared" si="26"/>
        <v>152000</v>
      </c>
      <c r="C198" s="14">
        <v>190000</v>
      </c>
      <c r="D198" s="15">
        <f t="shared" si="27"/>
        <v>228000</v>
      </c>
    </row>
    <row r="199" spans="1:6" ht="18" customHeight="1">
      <c r="A199" s="3" t="s">
        <v>201</v>
      </c>
      <c r="B199" s="13">
        <f t="shared" si="26"/>
        <v>172000</v>
      </c>
      <c r="C199" s="14">
        <v>215000</v>
      </c>
      <c r="D199" s="15">
        <f t="shared" si="27"/>
        <v>258000</v>
      </c>
    </row>
    <row r="200" spans="1:6" ht="18" customHeight="1">
      <c r="A200" s="3" t="s">
        <v>202</v>
      </c>
      <c r="B200" s="13">
        <f t="shared" si="26"/>
        <v>50400</v>
      </c>
      <c r="C200" s="14">
        <v>63000</v>
      </c>
      <c r="D200" s="15">
        <f t="shared" si="27"/>
        <v>75600</v>
      </c>
    </row>
    <row r="201" spans="1:6" ht="18" customHeight="1">
      <c r="A201" s="3" t="s">
        <v>203</v>
      </c>
      <c r="B201" s="13">
        <f t="shared" si="26"/>
        <v>64000</v>
      </c>
      <c r="C201" s="14">
        <v>80000</v>
      </c>
      <c r="D201" s="15">
        <f t="shared" si="27"/>
        <v>96000</v>
      </c>
    </row>
    <row r="202" spans="1:6" ht="18" customHeight="1">
      <c r="A202" s="3" t="s">
        <v>204</v>
      </c>
      <c r="B202" s="13">
        <f t="shared" si="26"/>
        <v>72000</v>
      </c>
      <c r="C202" s="14">
        <v>90000</v>
      </c>
      <c r="D202" s="15">
        <f t="shared" si="27"/>
        <v>108000</v>
      </c>
    </row>
    <row r="203" spans="1:6" ht="18" customHeight="1">
      <c r="A203" s="3" t="s">
        <v>205</v>
      </c>
      <c r="B203" s="15">
        <f t="shared" si="26"/>
        <v>101600</v>
      </c>
      <c r="C203" s="14">
        <v>127000</v>
      </c>
      <c r="D203" s="15">
        <f t="shared" si="27"/>
        <v>152400</v>
      </c>
    </row>
    <row r="204" spans="1:6" ht="18" customHeight="1">
      <c r="A204" s="3" t="s">
        <v>206</v>
      </c>
      <c r="B204" s="15">
        <f t="shared" si="26"/>
        <v>120000</v>
      </c>
      <c r="C204" s="14">
        <v>150000</v>
      </c>
      <c r="D204" s="15">
        <f t="shared" si="27"/>
        <v>180000</v>
      </c>
    </row>
    <row r="205" spans="1:6" ht="18" customHeight="1">
      <c r="A205" s="3" t="s">
        <v>207</v>
      </c>
      <c r="B205" s="13">
        <f t="shared" si="26"/>
        <v>147200</v>
      </c>
      <c r="C205" s="14">
        <v>184000</v>
      </c>
      <c r="D205" s="15">
        <f t="shared" si="27"/>
        <v>220800</v>
      </c>
    </row>
    <row r="206" spans="1:6" ht="18" customHeight="1">
      <c r="A206" s="3" t="s">
        <v>208</v>
      </c>
      <c r="B206" s="13">
        <f t="shared" si="26"/>
        <v>166400</v>
      </c>
      <c r="C206" s="14">
        <v>208000</v>
      </c>
      <c r="D206" s="15">
        <f t="shared" si="27"/>
        <v>249600</v>
      </c>
    </row>
    <row r="207" spans="1:6" ht="18" customHeight="1">
      <c r="A207" s="3" t="s">
        <v>209</v>
      </c>
      <c r="B207" s="13">
        <f t="shared" si="26"/>
        <v>184000</v>
      </c>
      <c r="C207" s="14">
        <v>230000</v>
      </c>
      <c r="D207" s="15">
        <f t="shared" si="27"/>
        <v>276000</v>
      </c>
    </row>
    <row r="208" spans="1:6" ht="18" customHeight="1">
      <c r="A208" s="3" t="s">
        <v>210</v>
      </c>
      <c r="B208" s="13">
        <f t="shared" si="26"/>
        <v>200000</v>
      </c>
      <c r="C208" s="14">
        <v>250000</v>
      </c>
      <c r="D208" s="15">
        <f t="shared" si="27"/>
        <v>300000</v>
      </c>
    </row>
    <row r="209" spans="1:6" ht="18" customHeight="1">
      <c r="A209" s="3" t="s">
        <v>211</v>
      </c>
      <c r="B209" s="15">
        <v>78000</v>
      </c>
      <c r="C209" s="14">
        <v>90000</v>
      </c>
      <c r="D209" s="15">
        <v>102000</v>
      </c>
      <c r="F209" s="4"/>
    </row>
    <row r="210" spans="1:6" ht="18" customHeight="1">
      <c r="A210" s="3" t="s">
        <v>212</v>
      </c>
      <c r="B210" s="13">
        <f t="shared" ref="B210:B223" si="28">C210*0.8</f>
        <v>84000</v>
      </c>
      <c r="C210" s="14">
        <v>105000</v>
      </c>
      <c r="D210" s="15">
        <f t="shared" ref="D210:D223" si="29">C210*1.2</f>
        <v>126000</v>
      </c>
    </row>
    <row r="211" spans="1:6" ht="18" customHeight="1">
      <c r="A211" s="3" t="s">
        <v>213</v>
      </c>
      <c r="B211" s="13">
        <f t="shared" si="28"/>
        <v>114800</v>
      </c>
      <c r="C211" s="14">
        <v>143500</v>
      </c>
      <c r="D211" s="15">
        <f t="shared" si="29"/>
        <v>172200</v>
      </c>
    </row>
    <row r="212" spans="1:6" ht="18" customHeight="1">
      <c r="A212" s="3" t="s">
        <v>214</v>
      </c>
      <c r="B212" s="13">
        <f t="shared" si="28"/>
        <v>147200</v>
      </c>
      <c r="C212" s="14">
        <v>184000</v>
      </c>
      <c r="D212" s="15">
        <f t="shared" si="29"/>
        <v>220800</v>
      </c>
    </row>
    <row r="213" spans="1:6" ht="18" customHeight="1">
      <c r="A213" s="3" t="s">
        <v>215</v>
      </c>
      <c r="B213" s="13">
        <f t="shared" si="28"/>
        <v>166400</v>
      </c>
      <c r="C213" s="14">
        <v>208000</v>
      </c>
      <c r="D213" s="15">
        <f t="shared" si="29"/>
        <v>249600</v>
      </c>
    </row>
    <row r="214" spans="1:6" ht="18" customHeight="1">
      <c r="A214" s="3" t="s">
        <v>216</v>
      </c>
      <c r="B214" s="13">
        <f t="shared" si="28"/>
        <v>193600</v>
      </c>
      <c r="C214" s="14">
        <v>242000</v>
      </c>
      <c r="D214" s="15">
        <f t="shared" si="29"/>
        <v>290400</v>
      </c>
    </row>
    <row r="215" spans="1:6" ht="18" customHeight="1">
      <c r="A215" s="3" t="s">
        <v>217</v>
      </c>
      <c r="B215" s="13">
        <f t="shared" si="28"/>
        <v>46400</v>
      </c>
      <c r="C215" s="14">
        <v>58000</v>
      </c>
      <c r="D215" s="15">
        <f t="shared" si="29"/>
        <v>69600</v>
      </c>
    </row>
    <row r="216" spans="1:6" ht="18" customHeight="1">
      <c r="A216" s="3" t="s">
        <v>218</v>
      </c>
      <c r="B216" s="13">
        <f t="shared" si="28"/>
        <v>57600</v>
      </c>
      <c r="C216" s="14">
        <v>72000</v>
      </c>
      <c r="D216" s="15">
        <f t="shared" si="29"/>
        <v>86400</v>
      </c>
    </row>
    <row r="217" spans="1:6" ht="18" customHeight="1">
      <c r="A217" s="3" t="s">
        <v>219</v>
      </c>
      <c r="B217" s="13">
        <f t="shared" si="28"/>
        <v>68000</v>
      </c>
      <c r="C217" s="14">
        <v>85000</v>
      </c>
      <c r="D217" s="15">
        <f t="shared" si="29"/>
        <v>102000</v>
      </c>
    </row>
    <row r="218" spans="1:6" ht="18" customHeight="1">
      <c r="A218" s="3" t="s">
        <v>220</v>
      </c>
      <c r="B218" s="13">
        <f t="shared" si="28"/>
        <v>84000</v>
      </c>
      <c r="C218" s="14">
        <v>105000</v>
      </c>
      <c r="D218" s="15">
        <f t="shared" si="29"/>
        <v>126000</v>
      </c>
    </row>
    <row r="219" spans="1:6" ht="18" customHeight="1">
      <c r="A219" s="3" t="s">
        <v>221</v>
      </c>
      <c r="B219" s="13">
        <f t="shared" si="28"/>
        <v>108000</v>
      </c>
      <c r="C219" s="14">
        <v>135000</v>
      </c>
      <c r="D219" s="15">
        <f t="shared" si="29"/>
        <v>162000</v>
      </c>
    </row>
    <row r="220" spans="1:6" ht="18" customHeight="1">
      <c r="A220" s="3" t="s">
        <v>222</v>
      </c>
      <c r="B220" s="13">
        <f t="shared" si="28"/>
        <v>124000</v>
      </c>
      <c r="C220" s="14">
        <v>155000</v>
      </c>
      <c r="D220" s="15">
        <f t="shared" si="29"/>
        <v>186000</v>
      </c>
    </row>
    <row r="221" spans="1:6" ht="18" customHeight="1">
      <c r="A221" s="3" t="s">
        <v>223</v>
      </c>
      <c r="B221" s="13">
        <f t="shared" si="28"/>
        <v>140000</v>
      </c>
      <c r="C221" s="14">
        <v>175000</v>
      </c>
      <c r="D221" s="15">
        <f t="shared" si="29"/>
        <v>210000</v>
      </c>
      <c r="F221" s="4"/>
    </row>
    <row r="222" spans="1:6" ht="18" customHeight="1">
      <c r="A222" s="3" t="s">
        <v>224</v>
      </c>
      <c r="B222" s="13">
        <f t="shared" si="28"/>
        <v>164000</v>
      </c>
      <c r="C222" s="14">
        <v>205000</v>
      </c>
      <c r="D222" s="15">
        <f t="shared" si="29"/>
        <v>246000</v>
      </c>
    </row>
    <row r="223" spans="1:6" ht="18" customHeight="1">
      <c r="A223" s="3" t="s">
        <v>225</v>
      </c>
      <c r="B223" s="13">
        <f t="shared" si="28"/>
        <v>184000</v>
      </c>
      <c r="C223" s="14">
        <v>230000</v>
      </c>
      <c r="D223" s="15">
        <f t="shared" si="29"/>
        <v>276000</v>
      </c>
    </row>
    <row r="224" spans="1:6" ht="18" customHeight="1">
      <c r="A224" s="3" t="s">
        <v>226</v>
      </c>
      <c r="B224" s="13">
        <v>65000</v>
      </c>
      <c r="C224" s="14">
        <v>75000</v>
      </c>
      <c r="D224" s="15">
        <v>85000</v>
      </c>
    </row>
    <row r="225" spans="1:6" ht="18" customHeight="1">
      <c r="A225" s="3" t="s">
        <v>227</v>
      </c>
      <c r="B225" s="13">
        <f t="shared" ref="B225:B239" si="30">C225*0.8</f>
        <v>76000</v>
      </c>
      <c r="C225" s="14">
        <v>95000</v>
      </c>
      <c r="D225" s="15">
        <f t="shared" ref="D225:D239" si="31">C225*1.2</f>
        <v>114000</v>
      </c>
    </row>
    <row r="226" spans="1:6" ht="18" customHeight="1">
      <c r="A226" s="3" t="s">
        <v>228</v>
      </c>
      <c r="B226" s="13">
        <f t="shared" si="30"/>
        <v>96000</v>
      </c>
      <c r="C226" s="14">
        <v>120000</v>
      </c>
      <c r="D226" s="15">
        <f t="shared" si="31"/>
        <v>144000</v>
      </c>
    </row>
    <row r="227" spans="1:6" ht="18" customHeight="1">
      <c r="A227" s="3" t="s">
        <v>229</v>
      </c>
      <c r="B227" s="13">
        <f t="shared" si="30"/>
        <v>124000</v>
      </c>
      <c r="C227" s="14">
        <v>155000</v>
      </c>
      <c r="D227" s="15">
        <f t="shared" si="31"/>
        <v>186000</v>
      </c>
    </row>
    <row r="228" spans="1:6" ht="18" customHeight="1">
      <c r="A228" s="3" t="s">
        <v>230</v>
      </c>
      <c r="B228" s="13">
        <f t="shared" si="30"/>
        <v>144000</v>
      </c>
      <c r="C228" s="14">
        <v>180000</v>
      </c>
      <c r="D228" s="15">
        <f t="shared" si="31"/>
        <v>216000</v>
      </c>
    </row>
    <row r="229" spans="1:6" ht="18" customHeight="1">
      <c r="A229" s="3" t="s">
        <v>231</v>
      </c>
      <c r="B229" s="13">
        <f t="shared" si="30"/>
        <v>172000</v>
      </c>
      <c r="C229" s="14">
        <v>215000</v>
      </c>
      <c r="D229" s="15">
        <f t="shared" si="31"/>
        <v>258000</v>
      </c>
    </row>
    <row r="230" spans="1:6" ht="18" customHeight="1">
      <c r="A230" s="3" t="s">
        <v>232</v>
      </c>
      <c r="B230" s="13">
        <f t="shared" si="30"/>
        <v>36800</v>
      </c>
      <c r="C230" s="14">
        <v>46000</v>
      </c>
      <c r="D230" s="15">
        <f t="shared" si="31"/>
        <v>55200</v>
      </c>
    </row>
    <row r="231" spans="1:6" ht="18" customHeight="1">
      <c r="A231" s="3" t="s">
        <v>233</v>
      </c>
      <c r="B231" s="13">
        <f t="shared" si="30"/>
        <v>46400</v>
      </c>
      <c r="C231" s="14">
        <v>58000</v>
      </c>
      <c r="D231" s="15">
        <f t="shared" si="31"/>
        <v>69600</v>
      </c>
    </row>
    <row r="232" spans="1:6" ht="18" customHeight="1">
      <c r="A232" s="3" t="s">
        <v>234</v>
      </c>
      <c r="B232" s="13">
        <f t="shared" si="30"/>
        <v>57600</v>
      </c>
      <c r="C232" s="14">
        <v>72000</v>
      </c>
      <c r="D232" s="15">
        <f t="shared" si="31"/>
        <v>86400</v>
      </c>
    </row>
    <row r="233" spans="1:6" ht="18" customHeight="1">
      <c r="A233" s="3" t="s">
        <v>235</v>
      </c>
      <c r="B233" s="13">
        <f t="shared" si="30"/>
        <v>68000</v>
      </c>
      <c r="C233" s="14">
        <v>85000</v>
      </c>
      <c r="D233" s="15">
        <f t="shared" si="31"/>
        <v>102000</v>
      </c>
    </row>
    <row r="234" spans="1:6" ht="18" customHeight="1">
      <c r="A234" s="3" t="s">
        <v>236</v>
      </c>
      <c r="B234" s="13">
        <f t="shared" si="30"/>
        <v>80000</v>
      </c>
      <c r="C234" s="14">
        <v>100000</v>
      </c>
      <c r="D234" s="15">
        <f t="shared" si="31"/>
        <v>120000</v>
      </c>
    </row>
    <row r="235" spans="1:6" ht="18" customHeight="1">
      <c r="A235" s="3" t="s">
        <v>237</v>
      </c>
      <c r="B235" s="13">
        <f t="shared" si="30"/>
        <v>104000</v>
      </c>
      <c r="C235" s="14">
        <v>130000</v>
      </c>
      <c r="D235" s="15">
        <f t="shared" si="31"/>
        <v>156000</v>
      </c>
    </row>
    <row r="236" spans="1:6" ht="18" customHeight="1">
      <c r="A236" s="3" t="s">
        <v>238</v>
      </c>
      <c r="B236" s="13">
        <f t="shared" si="30"/>
        <v>116000</v>
      </c>
      <c r="C236" s="14">
        <v>145000</v>
      </c>
      <c r="D236" s="15">
        <f t="shared" si="31"/>
        <v>174000</v>
      </c>
      <c r="F236" s="4"/>
    </row>
    <row r="237" spans="1:6" ht="18" customHeight="1">
      <c r="A237" s="3" t="s">
        <v>239</v>
      </c>
      <c r="B237" s="13">
        <f t="shared" si="30"/>
        <v>132000</v>
      </c>
      <c r="C237" s="14">
        <v>165000</v>
      </c>
      <c r="D237" s="15">
        <f t="shared" si="31"/>
        <v>198000</v>
      </c>
    </row>
    <row r="238" spans="1:6" ht="18" customHeight="1">
      <c r="A238" s="3" t="s">
        <v>240</v>
      </c>
      <c r="B238" s="13">
        <f t="shared" si="30"/>
        <v>152000</v>
      </c>
      <c r="C238" s="14">
        <v>190000</v>
      </c>
      <c r="D238" s="15">
        <f t="shared" si="31"/>
        <v>228000</v>
      </c>
    </row>
    <row r="239" spans="1:6" ht="18" customHeight="1">
      <c r="A239" s="3" t="s">
        <v>241</v>
      </c>
      <c r="B239" s="13">
        <f t="shared" si="30"/>
        <v>176000</v>
      </c>
      <c r="C239" s="14">
        <v>220000</v>
      </c>
      <c r="D239" s="15">
        <f t="shared" si="31"/>
        <v>264000</v>
      </c>
    </row>
    <row r="240" spans="1:6" ht="18" customHeight="1">
      <c r="A240" s="3" t="s">
        <v>242</v>
      </c>
      <c r="B240" s="13">
        <v>60000</v>
      </c>
      <c r="C240" s="14">
        <v>70000</v>
      </c>
      <c r="D240" s="15">
        <v>78000</v>
      </c>
    </row>
    <row r="241" spans="1:4" ht="18" customHeight="1">
      <c r="A241" s="3" t="s">
        <v>243</v>
      </c>
      <c r="B241" s="13">
        <f>C241*0.8</f>
        <v>72000</v>
      </c>
      <c r="C241" s="14">
        <v>90000</v>
      </c>
      <c r="D241" s="15">
        <f>C241*1.2</f>
        <v>108000</v>
      </c>
    </row>
    <row r="242" spans="1:4" ht="18" customHeight="1">
      <c r="A242" s="3" t="s">
        <v>244</v>
      </c>
      <c r="B242" s="13">
        <f>C242*0.8</f>
        <v>88000</v>
      </c>
      <c r="C242" s="14">
        <v>110000</v>
      </c>
      <c r="D242" s="15">
        <f>C242*1.2</f>
        <v>132000</v>
      </c>
    </row>
    <row r="243" spans="1:4" ht="18" customHeight="1">
      <c r="A243" s="3" t="s">
        <v>245</v>
      </c>
      <c r="B243" s="13">
        <f>C243*0.8</f>
        <v>116000</v>
      </c>
      <c r="C243" s="14">
        <v>145000</v>
      </c>
      <c r="D243" s="15">
        <f>C243*1.2</f>
        <v>174000</v>
      </c>
    </row>
    <row r="244" spans="1:4" ht="18" customHeight="1">
      <c r="A244" s="3" t="s">
        <v>246</v>
      </c>
      <c r="B244" s="13">
        <f>C244*0.8</f>
        <v>132000</v>
      </c>
      <c r="C244" s="14">
        <v>165000</v>
      </c>
      <c r="D244" s="15">
        <f>C244*1.2</f>
        <v>198000</v>
      </c>
    </row>
    <row r="245" spans="1:4" ht="18" customHeight="1">
      <c r="A245" s="3" t="s">
        <v>247</v>
      </c>
      <c r="B245" s="17">
        <f>C245*0.8</f>
        <v>148000</v>
      </c>
      <c r="C245" s="19">
        <v>185000</v>
      </c>
      <c r="D245" s="20">
        <f>C245*1.2</f>
        <v>222000</v>
      </c>
    </row>
    <row r="249" spans="1:4">
      <c r="C249" s="22"/>
    </row>
  </sheetData>
  <autoFilter ref="A1:D245" xr:uid="{725A81A9-5A00-4302-8D95-69281F9D5B3D}">
    <sortState xmlns:xlrd2="http://schemas.microsoft.com/office/spreadsheetml/2017/richdata2" ref="A2:D245">
      <sortCondition ref="A1:A244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E741-704C-4BCB-806E-D0EB25AEDF38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7ddd92-a0f3-4d1f-8074-51df75e50753" xsi:nil="true"/>
    <lcf76f155ced4ddcb4097134ff3c332f xmlns="9d06f21b-8942-4c64-bda6-6ba954b22b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7F3B00AD88D49805AC1274DC1121E" ma:contentTypeVersion="14" ma:contentTypeDescription="Create a new document." ma:contentTypeScope="" ma:versionID="58055b7f94f674132c48ffe0efef4f74">
  <xsd:schema xmlns:xsd="http://www.w3.org/2001/XMLSchema" xmlns:xs="http://www.w3.org/2001/XMLSchema" xmlns:p="http://schemas.microsoft.com/office/2006/metadata/properties" xmlns:ns2="9d06f21b-8942-4c64-bda6-6ba954b22bc6" xmlns:ns3="cb7ddd92-a0f3-4d1f-8074-51df75e50753" targetNamespace="http://schemas.microsoft.com/office/2006/metadata/properties" ma:root="true" ma:fieldsID="ac2623fc254f7365ca278169cf41f36d" ns2:_="" ns3:_="">
    <xsd:import namespace="9d06f21b-8942-4c64-bda6-6ba954b22bc6"/>
    <xsd:import namespace="cb7ddd92-a0f3-4d1f-8074-51df75e507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06f21b-8942-4c64-bda6-6ba954b22b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9f0995-0d6d-4eaa-b7bc-1598038d51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ddd92-a0f3-4d1f-8074-51df75e507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8acb873-b5a4-4767-922e-8a50b1cd0293}" ma:internalName="TaxCatchAll" ma:showField="CatchAllData" ma:web="cb7ddd92-a0f3-4d1f-8074-51df75e507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A8CFE6-D222-4EE6-BB83-ABBB6829532B}"/>
</file>

<file path=customXml/itemProps2.xml><?xml version="1.0" encoding="utf-8"?>
<ds:datastoreItem xmlns:ds="http://schemas.openxmlformats.org/officeDocument/2006/customXml" ds:itemID="{0438FC17-D900-46F4-900F-409AA03A23B2}"/>
</file>

<file path=customXml/itemProps3.xml><?xml version="1.0" encoding="utf-8"?>
<ds:datastoreItem xmlns:ds="http://schemas.openxmlformats.org/officeDocument/2006/customXml" ds:itemID="{1EBDFE3F-B13F-4C39-8197-11DBA6D53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NRDC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/>
  <cp:revision/>
  <dcterms:created xsi:type="dcterms:W3CDTF">2022-11-03T20:37:24Z</dcterms:created>
  <dcterms:modified xsi:type="dcterms:W3CDTF">2026-08-03T15:27:42Z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0x010100FD17F3B00AD88D49805AC1274DC1121E</vt:lpwstr>
  </property>
  <property fmtid="{D5CDD505-2E9C-101B-9397-08002B2CF9AE}" pid="3" name="MediaServiceImageTags">
    <vt:lpwstr/>
  </property>
</Properties>
</file>