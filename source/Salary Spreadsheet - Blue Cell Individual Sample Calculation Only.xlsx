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s and Adjustment Criter" sheetId="1" r:id="rId5"/>
  </sheets>
  <definedNames/>
  <calcPr/>
</workbook>
</file>

<file path=xl/sharedStrings.xml><?xml version="1.0" encoding="utf-8"?>
<sst xmlns="http://schemas.openxmlformats.org/spreadsheetml/2006/main" count="41" uniqueCount="31">
  <si>
    <t>Note: Only edit the blue cells (B5:B12).</t>
  </si>
  <si>
    <t xml:space="preserve">If the number reported in B4 is less than a 5% annual raise from your 2024 pay, then the contract proposes the 5% annual raise instead. </t>
  </si>
  <si>
    <t>Sample Employee</t>
  </si>
  <si>
    <t>Salary</t>
  </si>
  <si>
    <t>Calculation Steps:</t>
  </si>
  <si>
    <t>Job Level</t>
  </si>
  <si>
    <t>S2</t>
  </si>
  <si>
    <t>Year</t>
  </si>
  <si>
    <t>Adjustments</t>
  </si>
  <si>
    <t>Modifies</t>
  </si>
  <si>
    <t>Step Promotions</t>
  </si>
  <si>
    <t>Base Pay</t>
  </si>
  <si>
    <t>Tenure</t>
  </si>
  <si>
    <t>Excess Ed/Exp</t>
  </si>
  <si>
    <t>Litigation</t>
  </si>
  <si>
    <t>Modified Pay</t>
  </si>
  <si>
    <t>CSO</t>
  </si>
  <si>
    <t>Translation/Interp.</t>
  </si>
  <si>
    <t>Tenure Adjustment</t>
  </si>
  <si>
    <t>Job Level Base Pay</t>
  </si>
  <si>
    <t>First Decade</t>
  </si>
  <si>
    <t>Post-Decade</t>
  </si>
  <si>
    <t>B2</t>
  </si>
  <si>
    <t>B3</t>
  </si>
  <si>
    <t>B4</t>
  </si>
  <si>
    <t>B5</t>
  </si>
  <si>
    <t>S1</t>
  </si>
  <si>
    <t>S3</t>
  </si>
  <si>
    <t>S4</t>
  </si>
  <si>
    <t>S5</t>
  </si>
  <si>
    <t>Annual 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</si>
</sst>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6">
    <font>
      <sz val="10.0"/>
      <color rgb="FF000000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164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3" fontId="2" numFmtId="0" xfId="0" applyAlignment="1" applyBorder="1" applyFill="1" applyFont="1">
      <alignment readingOrder="0"/>
    </xf>
    <xf borderId="3" fillId="3" fontId="5" numFmtId="164" xfId="0" applyAlignment="1" applyBorder="1" applyFont="1" applyNumberFormat="1">
      <alignment horizontal="center"/>
    </xf>
    <xf borderId="4" fillId="3" fontId="1" numFmtId="0" xfId="0" applyAlignment="1" applyBorder="1" applyFont="1">
      <alignment horizontal="center" readingOrder="0"/>
    </xf>
    <xf borderId="3" fillId="3" fontId="3" numFmtId="0" xfId="0" applyAlignment="1" applyBorder="1" applyFont="1">
      <alignment readingOrder="0"/>
    </xf>
    <xf borderId="5" fillId="4" fontId="3" numFmtId="0" xfId="0" applyAlignment="1" applyBorder="1" applyFill="1" applyFont="1">
      <alignment horizontal="center" readingOrder="0"/>
    </xf>
    <xf borderId="6" fillId="3" fontId="1" numFmtId="164" xfId="0" applyAlignment="1" applyBorder="1" applyFont="1" applyNumberFormat="1">
      <alignment horizontal="center" vertical="center"/>
    </xf>
    <xf borderId="0" fillId="0" fontId="3" numFmtId="10" xfId="0" applyFont="1" applyNumberFormat="1"/>
    <xf borderId="6" fillId="3" fontId="3" numFmtId="0" xfId="0" applyAlignment="1" applyBorder="1" applyFont="1">
      <alignment readingOrder="0"/>
    </xf>
    <xf borderId="7" fillId="4" fontId="3" numFmtId="0" xfId="0" applyAlignment="1" applyBorder="1" applyFont="1">
      <alignment horizontal="center" readingOrder="0"/>
    </xf>
    <xf borderId="6" fillId="0" fontId="4" numFmtId="0" xfId="0" applyBorder="1" applyFont="1"/>
    <xf borderId="8" fillId="0" fontId="4" numFmtId="0" xfId="0" applyBorder="1" applyFont="1"/>
    <xf borderId="2" fillId="2" fontId="2" numFmtId="0" xfId="0" applyAlignment="1" applyBorder="1" applyFont="1">
      <alignment horizontal="center" readingOrder="0"/>
    </xf>
    <xf borderId="6" fillId="3" fontId="1" numFmtId="164" xfId="0" applyAlignment="1" applyBorder="1" applyFont="1" applyNumberFormat="1">
      <alignment horizontal="center" readingOrder="0" vertical="center"/>
    </xf>
    <xf borderId="4" fillId="3" fontId="1" numFmtId="0" xfId="0" applyAlignment="1" applyBorder="1" applyFont="1">
      <alignment readingOrder="0"/>
    </xf>
    <xf borderId="4" fillId="0" fontId="3" numFmtId="165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  <xf borderId="9" fillId="3" fontId="3" numFmtId="0" xfId="0" applyAlignment="1" applyBorder="1" applyFont="1">
      <alignment readingOrder="0"/>
    </xf>
    <xf borderId="10" fillId="4" fontId="3" numFmtId="0" xfId="0" applyAlignment="1" applyBorder="1" applyFont="1">
      <alignment horizontal="center" readingOrder="0"/>
    </xf>
    <xf borderId="9" fillId="3" fontId="1" numFmtId="164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9" fillId="0" fontId="4" numFmtId="0" xfId="0" applyBorder="1" applyFont="1"/>
    <xf borderId="4" fillId="2" fontId="1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6" fillId="3" fontId="3" numFmtId="0" xfId="0" applyAlignment="1" applyBorder="1" applyFont="1">
      <alignment horizontal="center" readingOrder="0"/>
    </xf>
    <xf borderId="11" fillId="0" fontId="1" numFmtId="10" xfId="0" applyAlignment="1" applyBorder="1" applyFont="1" applyNumberFormat="1">
      <alignment horizontal="center" readingOrder="0"/>
    </xf>
    <xf borderId="7" fillId="0" fontId="1" numFmtId="10" xfId="0" applyAlignment="1" applyBorder="1" applyFont="1" applyNumberFormat="1">
      <alignment horizontal="center" readingOrder="0"/>
    </xf>
    <xf borderId="11" fillId="0" fontId="3" numFmtId="164" xfId="0" applyAlignment="1" applyBorder="1" applyFont="1" applyNumberFormat="1">
      <alignment readingOrder="0"/>
    </xf>
    <xf borderId="0" fillId="3" fontId="3" numFmtId="164" xfId="0" applyFont="1" applyNumberFormat="1"/>
    <xf borderId="7" fillId="3" fontId="3" numFmtId="164" xfId="0" applyBorder="1" applyFont="1" applyNumberFormat="1"/>
    <xf borderId="9" fillId="3" fontId="3" numFmtId="0" xfId="0" applyAlignment="1" applyBorder="1" applyFont="1">
      <alignment horizontal="center" readingOrder="0"/>
    </xf>
    <xf borderId="12" fillId="0" fontId="1" numFmtId="10" xfId="0" applyAlignment="1" applyBorder="1" applyFont="1" applyNumberFormat="1">
      <alignment horizontal="center" readingOrder="0"/>
    </xf>
    <xf borderId="10" fillId="0" fontId="1" numFmtId="10" xfId="0" applyAlignment="1" applyBorder="1" applyFont="1" applyNumberFormat="1">
      <alignment horizontal="center" readingOrder="0"/>
    </xf>
    <xf borderId="12" fillId="0" fontId="3" numFmtId="164" xfId="0" applyAlignment="1" applyBorder="1" applyFont="1" applyNumberFormat="1">
      <alignment readingOrder="0"/>
    </xf>
    <xf borderId="13" fillId="3" fontId="3" numFmtId="164" xfId="0" applyBorder="1" applyFont="1" applyNumberFormat="1"/>
    <xf borderId="10" fillId="3" fontId="3" numFmtId="164" xfId="0" applyBorder="1" applyFont="1" applyNumberFormat="1"/>
    <xf borderId="4" fillId="2" fontId="5" numFmtId="0" xfId="0" applyAlignment="1" applyBorder="1" applyFont="1">
      <alignment horizontal="center" readingOrder="0"/>
    </xf>
    <xf borderId="8" fillId="0" fontId="1" numFmtId="10" xfId="0" applyAlignment="1" applyBorder="1" applyFont="1" applyNumberFormat="1">
      <alignment horizontal="center" readingOrder="0"/>
    </xf>
    <xf borderId="2" fillId="0" fontId="1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5" numFmtId="2" xfId="0" applyAlignment="1" applyFont="1" applyNumberFormat="1">
      <alignment readingOrder="0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164" xfId="0" applyFont="1" applyNumberFormat="1"/>
  </cellXfs>
  <cellStyles count="1">
    <cellStyle xfId="0" name="Normal" builtinId="0"/>
  </cellStyles>
  <dxfs count="1">
    <dxf>
      <font>
        <i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38"/>
    <col customWidth="1" min="3" max="3" width="15.13"/>
    <col customWidth="1" min="4" max="4" width="14.5"/>
    <col customWidth="1" min="5" max="5" width="14.13"/>
    <col customWidth="1" min="6" max="6" width="14.75"/>
    <col customWidth="1" min="8" max="8" width="28.13"/>
  </cols>
  <sheetData>
    <row r="1">
      <c r="A1" s="1" t="s">
        <v>0</v>
      </c>
      <c r="H1" s="2"/>
    </row>
    <row r="2">
      <c r="A2" s="1" t="s">
        <v>1</v>
      </c>
      <c r="H2" s="1"/>
      <c r="I2" s="3"/>
    </row>
    <row r="3">
      <c r="A3" s="4" t="s">
        <v>2</v>
      </c>
      <c r="B3" s="5"/>
      <c r="C3" s="1"/>
      <c r="H3" s="1"/>
      <c r="I3" s="3"/>
    </row>
    <row r="4">
      <c r="A4" s="6" t="s">
        <v>3</v>
      </c>
      <c r="B4" s="7">
        <f t="array" ref="B4">VLOOKUP(B5, $A$16:$F$24, IF(B6=D15, 4, IF(B6=E15, 5, IF(B6=F15, 6))))
*(1+B7*$E$7)
*(1+VLOOKUP(B5, A16:F24, 2))^(IF(B8+IF(B9=TRUE, $E$8, 0)&gt;10, 10, B8+IF(B9=TRUE, $E$8, 0)))
*(1+VLOOKUP(B5, A16:F24, 3))^(IF(B8+IF(B9=TRUE, $E$8, 0)&gt;10, B8+IF(B9=TRUE, $E$8, 0)-10, 0))
*1+IF(B10=TRUE, $E$9, 0)
+IF(B11=TRUE, $E$10, 0)
+IF(B12=TRUE, $E$11, 0)</f>
        <v>121548.0502</v>
      </c>
      <c r="C4" s="8" t="s">
        <v>4</v>
      </c>
      <c r="H4" s="1"/>
    </row>
    <row r="5">
      <c r="A5" s="9" t="s">
        <v>5</v>
      </c>
      <c r="B5" s="10" t="s">
        <v>6</v>
      </c>
      <c r="C5" s="11">
        <f>VLOOKUP(B5, A16:F24, IF(B6=D15, 4, IF(B6=E15, 5, IF(B6=F15, 6))))</f>
        <v>117967.5</v>
      </c>
      <c r="H5" s="1"/>
      <c r="I5" s="12"/>
    </row>
    <row r="6">
      <c r="A6" s="13" t="s">
        <v>7</v>
      </c>
      <c r="B6" s="14">
        <v>2027.0</v>
      </c>
      <c r="C6" s="15"/>
      <c r="D6" s="4" t="s">
        <v>8</v>
      </c>
      <c r="E6" s="16"/>
      <c r="F6" s="17" t="s">
        <v>9</v>
      </c>
    </row>
    <row r="7">
      <c r="A7" s="13" t="s">
        <v>10</v>
      </c>
      <c r="B7" s="14">
        <v>1.0</v>
      </c>
      <c r="C7" s="18">
        <f t="array" ref="C7">C5
*(1+B7*$E$7)</f>
        <v>119147.175</v>
      </c>
      <c r="D7" s="19" t="s">
        <v>10</v>
      </c>
      <c r="E7" s="20">
        <v>0.01</v>
      </c>
      <c r="F7" s="8" t="s">
        <v>11</v>
      </c>
    </row>
    <row r="8">
      <c r="A8" s="13" t="s">
        <v>12</v>
      </c>
      <c r="B8" s="14">
        <v>4.0</v>
      </c>
      <c r="C8" s="18">
        <f t="array" ref="C8">C7
*(1+VLOOKUP(B5, A16:F24, 2))^(IF(B8+IF(B9=TRUE, $E$8, 0)&gt;10, 10, B8+IF(B9=TRUE, $E$8, 0)))
*(1+VLOOKUP(B5, A16:F24, 3))^(IF(B8+IF(B9=TRUE, $E$8, 0)&gt;10, B8+IF(B9=TRUE, $E$8, 0)-10, 0))</f>
        <v>121548.0502</v>
      </c>
      <c r="D8" s="19" t="s">
        <v>13</v>
      </c>
      <c r="E8" s="21">
        <v>4.0</v>
      </c>
      <c r="F8" s="8" t="s">
        <v>12</v>
      </c>
    </row>
    <row r="9">
      <c r="A9" s="13" t="s">
        <v>13</v>
      </c>
      <c r="B9" s="14" t="b">
        <v>0</v>
      </c>
      <c r="C9" s="15"/>
      <c r="D9" s="19" t="s">
        <v>14</v>
      </c>
      <c r="E9" s="20">
        <v>0.15</v>
      </c>
      <c r="F9" s="8" t="s">
        <v>15</v>
      </c>
    </row>
    <row r="10">
      <c r="A10" s="13" t="s">
        <v>14</v>
      </c>
      <c r="B10" s="14" t="b">
        <v>0</v>
      </c>
      <c r="C10" s="11">
        <f t="array" ref="C10">C8
*1+IF(B10=TRUE, E$9, 0)</f>
        <v>121548.0502</v>
      </c>
      <c r="D10" s="19" t="s">
        <v>16</v>
      </c>
      <c r="E10" s="22">
        <v>10000.0</v>
      </c>
      <c r="F10" s="8" t="s">
        <v>15</v>
      </c>
    </row>
    <row r="11">
      <c r="A11" s="13" t="s">
        <v>16</v>
      </c>
      <c r="B11" s="14" t="b">
        <v>0</v>
      </c>
      <c r="C11" s="11">
        <f t="array" ref="C11">C10
+IF(B11=TRUE, $E$10, 0)</f>
        <v>121548.0502</v>
      </c>
      <c r="D11" s="19" t="s">
        <v>17</v>
      </c>
      <c r="E11" s="22">
        <v>8000.0</v>
      </c>
      <c r="F11" s="8" t="s">
        <v>15</v>
      </c>
    </row>
    <row r="12">
      <c r="A12" s="23" t="s">
        <v>17</v>
      </c>
      <c r="B12" s="24" t="b">
        <v>0</v>
      </c>
      <c r="C12" s="25">
        <f t="array" ref="C12">C11
+IF(B12=TRUE, $E$11, 0)</f>
        <v>121548.0502</v>
      </c>
    </row>
    <row r="14">
      <c r="A14" s="26" t="s">
        <v>5</v>
      </c>
      <c r="B14" s="4" t="s">
        <v>18</v>
      </c>
      <c r="C14" s="5"/>
      <c r="D14" s="4" t="s">
        <v>19</v>
      </c>
      <c r="E14" s="16"/>
      <c r="F14" s="5"/>
    </row>
    <row r="15">
      <c r="A15" s="27"/>
      <c r="B15" s="28" t="s">
        <v>20</v>
      </c>
      <c r="C15" s="28" t="s">
        <v>21</v>
      </c>
      <c r="D15" s="29">
        <v>2025.0</v>
      </c>
      <c r="E15" s="29">
        <v>2026.0</v>
      </c>
      <c r="F15" s="29">
        <v>2027.0</v>
      </c>
    </row>
    <row r="16">
      <c r="A16" s="30" t="s">
        <v>22</v>
      </c>
      <c r="B16" s="31">
        <v>0.0125</v>
      </c>
      <c r="C16" s="32">
        <v>0.0075</v>
      </c>
      <c r="D16" s="33">
        <v>70000.0</v>
      </c>
      <c r="E16" s="34">
        <f t="shared" ref="E16:F16" si="1">D16*(1+E$25)</f>
        <v>73500</v>
      </c>
      <c r="F16" s="35">
        <f t="shared" si="1"/>
        <v>77175</v>
      </c>
    </row>
    <row r="17">
      <c r="A17" s="30" t="s">
        <v>23</v>
      </c>
      <c r="B17" s="31">
        <v>0.0125</v>
      </c>
      <c r="C17" s="32">
        <v>0.0075</v>
      </c>
      <c r="D17" s="33">
        <v>81000.0</v>
      </c>
      <c r="E17" s="34">
        <f t="shared" ref="E17:F17" si="2">D17*(1+E$25)</f>
        <v>85050</v>
      </c>
      <c r="F17" s="35">
        <f t="shared" si="2"/>
        <v>89302.5</v>
      </c>
    </row>
    <row r="18">
      <c r="A18" s="30" t="s">
        <v>24</v>
      </c>
      <c r="B18" s="31">
        <v>0.0125</v>
      </c>
      <c r="C18" s="32">
        <v>0.0075</v>
      </c>
      <c r="D18" s="33">
        <v>92000.0</v>
      </c>
      <c r="E18" s="34">
        <f t="shared" ref="E18:F18" si="3">D18*(1+E$25)</f>
        <v>96600</v>
      </c>
      <c r="F18" s="35">
        <f t="shared" si="3"/>
        <v>101430</v>
      </c>
    </row>
    <row r="19">
      <c r="A19" s="30" t="s">
        <v>25</v>
      </c>
      <c r="B19" s="31">
        <v>0.005</v>
      </c>
      <c r="C19" s="32">
        <v>0.005</v>
      </c>
      <c r="D19" s="33">
        <v>100000.0</v>
      </c>
      <c r="E19" s="34">
        <f t="shared" ref="E19:F19" si="4">D19*(1+E$25)</f>
        <v>105000</v>
      </c>
      <c r="F19" s="35">
        <f t="shared" si="4"/>
        <v>110250</v>
      </c>
    </row>
    <row r="20">
      <c r="A20" s="30" t="s">
        <v>26</v>
      </c>
      <c r="B20" s="31">
        <v>0.0125</v>
      </c>
      <c r="C20" s="32">
        <v>0.0075</v>
      </c>
      <c r="D20" s="33">
        <v>83000.0</v>
      </c>
      <c r="E20" s="34">
        <f t="shared" ref="E20:F20" si="5">D20*(1+E$25)</f>
        <v>87150</v>
      </c>
      <c r="F20" s="35">
        <f t="shared" si="5"/>
        <v>91507.5</v>
      </c>
    </row>
    <row r="21">
      <c r="A21" s="30" t="s">
        <v>6</v>
      </c>
      <c r="B21" s="31">
        <v>0.005</v>
      </c>
      <c r="C21" s="32">
        <v>0.005</v>
      </c>
      <c r="D21" s="33">
        <v>107000.0</v>
      </c>
      <c r="E21" s="34">
        <f t="shared" ref="E21:F21" si="6">D21*(1+E$25)</f>
        <v>112350</v>
      </c>
      <c r="F21" s="35">
        <f t="shared" si="6"/>
        <v>117967.5</v>
      </c>
    </row>
    <row r="22">
      <c r="A22" s="30" t="s">
        <v>27</v>
      </c>
      <c r="B22" s="31">
        <v>0.005</v>
      </c>
      <c r="C22" s="32">
        <v>0.005</v>
      </c>
      <c r="D22" s="33">
        <v>135000.0</v>
      </c>
      <c r="E22" s="34">
        <f t="shared" ref="E22:F22" si="7">D22*(1+E$25)</f>
        <v>141750</v>
      </c>
      <c r="F22" s="35">
        <f t="shared" si="7"/>
        <v>148837.5</v>
      </c>
    </row>
    <row r="23">
      <c r="A23" s="30" t="s">
        <v>28</v>
      </c>
      <c r="B23" s="31">
        <v>0.005</v>
      </c>
      <c r="C23" s="32">
        <v>0.005</v>
      </c>
      <c r="D23" s="33">
        <v>164000.0</v>
      </c>
      <c r="E23" s="34">
        <f t="shared" ref="E23:F23" si="8">D23*(1+E$25)</f>
        <v>172200</v>
      </c>
      <c r="F23" s="35">
        <f t="shared" si="8"/>
        <v>180810</v>
      </c>
    </row>
    <row r="24">
      <c r="A24" s="36" t="s">
        <v>29</v>
      </c>
      <c r="B24" s="37">
        <v>0.005</v>
      </c>
      <c r="C24" s="38">
        <v>0.005</v>
      </c>
      <c r="D24" s="39">
        <v>194000.0</v>
      </c>
      <c r="E24" s="40">
        <f t="shared" ref="E24:F24" si="9">D24*(1+E$25)</f>
        <v>203700</v>
      </c>
      <c r="F24" s="41">
        <f t="shared" si="9"/>
        <v>213885</v>
      </c>
    </row>
    <row r="25">
      <c r="D25" s="42" t="s">
        <v>30</v>
      </c>
      <c r="E25" s="43">
        <v>0.05</v>
      </c>
      <c r="F25" s="44">
        <v>0.05</v>
      </c>
    </row>
    <row r="28">
      <c r="G28" s="45"/>
      <c r="H28" s="46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6"/>
      <c r="T28" s="47"/>
      <c r="U28" s="47"/>
      <c r="V28" s="47"/>
      <c r="W28" s="47"/>
      <c r="X28" s="47"/>
    </row>
    <row r="29">
      <c r="G29" s="48"/>
      <c r="H29" s="49"/>
      <c r="I29" s="12"/>
      <c r="J29" s="12"/>
      <c r="K29" s="12"/>
      <c r="L29" s="12"/>
      <c r="M29" s="12"/>
      <c r="N29" s="3"/>
      <c r="O29" s="3"/>
      <c r="P29" s="3"/>
      <c r="Q29" s="3"/>
      <c r="R29" s="3"/>
      <c r="S29" s="49"/>
      <c r="T29" s="3"/>
      <c r="U29" s="3"/>
      <c r="V29" s="3"/>
      <c r="W29" s="3"/>
      <c r="X29" s="3"/>
    </row>
    <row r="30">
      <c r="G30" s="48"/>
      <c r="H30" s="49"/>
      <c r="I30" s="12"/>
      <c r="J30" s="12"/>
      <c r="K30" s="12"/>
      <c r="L30" s="12"/>
      <c r="M30" s="12"/>
      <c r="N30" s="3"/>
      <c r="O30" s="3"/>
      <c r="P30" s="3"/>
      <c r="Q30" s="3"/>
      <c r="R30" s="3"/>
      <c r="S30" s="49"/>
      <c r="T30" s="3"/>
      <c r="U30" s="3"/>
      <c r="V30" s="3"/>
      <c r="W30" s="3"/>
      <c r="X30" s="3"/>
    </row>
    <row r="31">
      <c r="G31" s="48"/>
      <c r="H31" s="49"/>
      <c r="I31" s="12"/>
      <c r="J31" s="12"/>
      <c r="K31" s="12"/>
      <c r="L31" s="12"/>
      <c r="M31" s="12"/>
      <c r="N31" s="3"/>
      <c r="O31" s="3"/>
      <c r="P31" s="3"/>
      <c r="Q31" s="3"/>
      <c r="R31" s="3"/>
      <c r="S31" s="49"/>
      <c r="T31" s="3"/>
      <c r="U31" s="3"/>
      <c r="V31" s="3"/>
      <c r="W31" s="3"/>
      <c r="X31" s="3"/>
    </row>
    <row r="32">
      <c r="G32" s="48"/>
      <c r="H32" s="49"/>
      <c r="I32" s="12"/>
      <c r="J32" s="12"/>
      <c r="K32" s="12"/>
      <c r="L32" s="12"/>
      <c r="M32" s="12"/>
      <c r="N32" s="3"/>
      <c r="O32" s="3"/>
      <c r="P32" s="3"/>
      <c r="Q32" s="3"/>
      <c r="R32" s="3"/>
      <c r="S32" s="49"/>
      <c r="T32" s="3"/>
      <c r="U32" s="3"/>
      <c r="V32" s="3"/>
      <c r="W32" s="3"/>
      <c r="X32" s="3"/>
    </row>
    <row r="33">
      <c r="G33" s="48"/>
      <c r="H33" s="49"/>
      <c r="I33" s="12"/>
      <c r="J33" s="12"/>
      <c r="K33" s="12"/>
      <c r="L33" s="12"/>
      <c r="M33" s="12"/>
      <c r="N33" s="3"/>
      <c r="O33" s="3"/>
      <c r="P33" s="3"/>
      <c r="Q33" s="3"/>
      <c r="R33" s="3"/>
      <c r="S33" s="49"/>
      <c r="T33" s="3"/>
      <c r="U33" s="3"/>
      <c r="V33" s="3"/>
      <c r="W33" s="3"/>
      <c r="X33" s="3"/>
    </row>
    <row r="34">
      <c r="G34" s="48"/>
      <c r="H34" s="49"/>
      <c r="I34" s="12"/>
      <c r="J34" s="12"/>
      <c r="K34" s="12"/>
      <c r="L34" s="12"/>
      <c r="M34" s="12"/>
      <c r="N34" s="3"/>
      <c r="O34" s="3"/>
      <c r="P34" s="3"/>
      <c r="Q34" s="3"/>
      <c r="R34" s="3"/>
      <c r="S34" s="49"/>
      <c r="T34" s="3"/>
      <c r="U34" s="3"/>
      <c r="V34" s="3"/>
      <c r="W34" s="3"/>
      <c r="X34" s="3"/>
    </row>
    <row r="35">
      <c r="G35" s="48"/>
      <c r="H35" s="49"/>
      <c r="I35" s="12"/>
      <c r="J35" s="12"/>
      <c r="K35" s="12"/>
      <c r="L35" s="12"/>
      <c r="M35" s="12"/>
      <c r="N35" s="3"/>
      <c r="O35" s="3"/>
      <c r="P35" s="3"/>
      <c r="Q35" s="3"/>
      <c r="R35" s="3"/>
      <c r="S35" s="49"/>
      <c r="T35" s="3"/>
      <c r="U35" s="3"/>
      <c r="V35" s="3"/>
      <c r="W35" s="3"/>
      <c r="X35" s="3"/>
    </row>
    <row r="36">
      <c r="G36" s="48"/>
      <c r="H36" s="49"/>
      <c r="I36" s="12"/>
      <c r="J36" s="12"/>
      <c r="K36" s="12"/>
      <c r="L36" s="12"/>
      <c r="M36" s="12"/>
      <c r="N36" s="3"/>
      <c r="O36" s="3"/>
      <c r="P36" s="3"/>
      <c r="Q36" s="3"/>
      <c r="R36" s="3"/>
      <c r="S36" s="49"/>
      <c r="T36" s="3"/>
      <c r="U36" s="3"/>
      <c r="V36" s="3"/>
      <c r="W36" s="3"/>
      <c r="X36" s="3"/>
    </row>
    <row r="37">
      <c r="G37" s="50"/>
      <c r="S37" s="46"/>
      <c r="T37" s="47"/>
      <c r="U37" s="47"/>
      <c r="V37" s="47"/>
      <c r="W37" s="47"/>
      <c r="X37" s="47"/>
    </row>
    <row r="38">
      <c r="S38" s="49"/>
      <c r="T38" s="3"/>
      <c r="U38" s="3"/>
      <c r="V38" s="3"/>
      <c r="W38" s="3"/>
      <c r="X38" s="3"/>
    </row>
    <row r="39">
      <c r="S39" s="49"/>
      <c r="T39" s="3"/>
      <c r="U39" s="3"/>
      <c r="V39" s="3"/>
      <c r="W39" s="3"/>
      <c r="X39" s="3"/>
    </row>
    <row r="40">
      <c r="I40" s="51"/>
      <c r="L40" s="3"/>
      <c r="S40" s="49"/>
      <c r="T40" s="3"/>
      <c r="U40" s="3"/>
      <c r="V40" s="3"/>
      <c r="W40" s="3"/>
      <c r="X40" s="3"/>
    </row>
    <row r="41">
      <c r="I41" s="51"/>
      <c r="L41" s="52"/>
      <c r="S41" s="49"/>
      <c r="T41" s="3"/>
      <c r="U41" s="3"/>
      <c r="V41" s="3"/>
      <c r="W41" s="3"/>
      <c r="X41" s="3"/>
    </row>
    <row r="42">
      <c r="I42" s="50"/>
      <c r="M42" s="12"/>
      <c r="S42" s="49"/>
      <c r="T42" s="3"/>
      <c r="U42" s="3"/>
      <c r="V42" s="3"/>
      <c r="W42" s="3"/>
      <c r="X42" s="3"/>
    </row>
    <row r="43">
      <c r="I43" s="3"/>
      <c r="S43" s="49"/>
      <c r="T43" s="3"/>
      <c r="U43" s="3"/>
      <c r="V43" s="3"/>
      <c r="W43" s="3"/>
      <c r="X43" s="3"/>
    </row>
    <row r="44">
      <c r="S44" s="49"/>
      <c r="T44" s="3"/>
      <c r="U44" s="3"/>
      <c r="V44" s="3"/>
      <c r="W44" s="3"/>
      <c r="X44" s="3"/>
    </row>
    <row r="45">
      <c r="S45" s="49"/>
      <c r="T45" s="3"/>
      <c r="U45" s="3"/>
      <c r="V45" s="3"/>
      <c r="W45" s="3"/>
      <c r="X45" s="3"/>
    </row>
    <row r="46">
      <c r="S46" s="46"/>
      <c r="T46" s="47"/>
      <c r="U46" s="47"/>
      <c r="V46" s="47"/>
      <c r="W46" s="47"/>
      <c r="X46" s="47"/>
    </row>
    <row r="47">
      <c r="S47" s="49"/>
      <c r="T47" s="3"/>
      <c r="U47" s="3"/>
      <c r="V47" s="3"/>
      <c r="W47" s="3"/>
      <c r="X47" s="3"/>
    </row>
    <row r="48">
      <c r="S48" s="49"/>
      <c r="T48" s="3"/>
      <c r="U48" s="3"/>
      <c r="V48" s="3"/>
      <c r="W48" s="3"/>
      <c r="X48" s="3"/>
    </row>
    <row r="49">
      <c r="S49" s="49"/>
      <c r="T49" s="3"/>
      <c r="U49" s="3"/>
      <c r="V49" s="3"/>
      <c r="W49" s="3"/>
      <c r="X49" s="3"/>
    </row>
    <row r="50">
      <c r="S50" s="49"/>
      <c r="T50" s="3"/>
      <c r="U50" s="3"/>
      <c r="V50" s="3"/>
      <c r="W50" s="3"/>
      <c r="X50" s="3"/>
    </row>
    <row r="51">
      <c r="S51" s="49"/>
      <c r="T51" s="3"/>
      <c r="U51" s="3"/>
      <c r="V51" s="3"/>
      <c r="W51" s="3"/>
      <c r="X51" s="3"/>
    </row>
    <row r="52">
      <c r="S52" s="49"/>
      <c r="T52" s="3"/>
      <c r="U52" s="3"/>
      <c r="V52" s="3"/>
      <c r="W52" s="3"/>
      <c r="X52" s="3"/>
    </row>
    <row r="53">
      <c r="S53" s="49"/>
      <c r="T53" s="3"/>
      <c r="U53" s="3"/>
      <c r="V53" s="3"/>
      <c r="W53" s="3"/>
      <c r="X53" s="3"/>
    </row>
    <row r="54">
      <c r="S54" s="49"/>
      <c r="T54" s="3"/>
      <c r="U54" s="3"/>
      <c r="V54" s="3"/>
      <c r="W54" s="3"/>
      <c r="X54" s="3"/>
    </row>
  </sheetData>
  <mergeCells count="8">
    <mergeCell ref="H1:I1"/>
    <mergeCell ref="A3:B3"/>
    <mergeCell ref="C5:C6"/>
    <mergeCell ref="D6:E6"/>
    <mergeCell ref="C8:C9"/>
    <mergeCell ref="A14:A15"/>
    <mergeCell ref="B14:C14"/>
    <mergeCell ref="D14:F14"/>
  </mergeCells>
  <conditionalFormatting sqref="K2:M7 N2:P11 R2:V11 D10:D13 F13 R13:V22 R24:R36 S24:S31 T24:V36 I29:Q36 W29:X36 T38:X45 T47:X54">
    <cfRule type="cellIs" dxfId="0" priority="1" operator="lessThanOrEqual">
      <formula>0</formula>
    </cfRule>
  </conditionalFormatting>
  <dataValidations>
    <dataValidation type="decimal" allowBlank="1" showDropDown="1" sqref="E7 E9 B16:C24 E25:F25">
      <formula1>0.0</formula1>
      <formula2>1.0</formula2>
    </dataValidation>
    <dataValidation type="decimal" operator="greaterThanOrEqual" allowBlank="1" showDropDown="1" sqref="E8 E10:E11 D16:D24">
      <formula1>0.0</formula1>
    </dataValidation>
    <dataValidation type="list" allowBlank="1" showErrorMessage="1" sqref="B9:B12">
      <formula1>"TRUE,FALSE"</formula1>
    </dataValidation>
    <dataValidation type="list" allowBlank="1" showErrorMessage="1" sqref="B6">
      <formula1>"2025,2026,2027"</formula1>
    </dataValidation>
    <dataValidation type="custom" allowBlank="1" showDropDown="1" showInputMessage="1" showErrorMessage="1" prompt="Whole numbers only. " sqref="B8">
      <formula1>ISNUMBER($B$8) * (MOD($B$8, 1) = 0)</formula1>
    </dataValidation>
    <dataValidation type="list" allowBlank="1" sqref="B7">
      <formula1>"0,1,2,3,4,5,6,7,8,9,10"</formula1>
    </dataValidation>
    <dataValidation type="list" allowBlank="1" showErrorMessage="1" sqref="B5">
      <formula1>'Baselines and Adjustment Criter'!$A$16:$A$24</formula1>
    </dataValidation>
  </dataValidations>
  <drawing r:id="rId1"/>
</worksheet>
</file>